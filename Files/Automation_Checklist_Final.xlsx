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 Case Detail" state="visible" r:id="rId5"/>
    <sheet sheetId="3" name="Core Area Coverage" state="visible" r:id="rId6"/>
    <sheet sheetId="4" name="Legend &amp; Help" state="visible" r:id="rId7"/>
  </sheets>
  <calcPr calcId="171027"/>
</workbook>
</file>

<file path=xl/sharedStrings.xml><?xml version="1.0" encoding="utf-8"?>
<sst xmlns="http://schemas.openxmlformats.org/spreadsheetml/2006/main" count="541" uniqueCount="199">
  <si>
    <t>OptiKPI V2.0 - Automation Coverage Dashboard</t>
  </si>
  <si>
    <t>Regression Test Suite | Updated status: Audience automated and passed | Other modules pending review</t>
  </si>
  <si>
    <t>Total Test Cases</t>
  </si>
  <si>
    <t>Automated</t>
  </si>
  <si>
    <t>Coverage %</t>
  </si>
  <si>
    <t>Needs Review</t>
  </si>
  <si>
    <t>Module-Level Automation Coverage</t>
  </si>
  <si>
    <t>Module</t>
  </si>
  <si>
    <t>Total TCs</t>
  </si>
  <si>
    <t>High</t>
  </si>
  <si>
    <t>Medium</t>
  </si>
  <si>
    <t>Status</t>
  </si>
  <si>
    <t>Audience</t>
  </si>
  <si>
    <t>Campaign</t>
  </si>
  <si>
    <t>Complete</t>
  </si>
  <si>
    <t>Dashboard</t>
  </si>
  <si>
    <t>Settings</t>
  </si>
  <si>
    <t>Workflow</t>
  </si>
  <si>
    <t>TOTAL</t>
  </si>
  <si>
    <t>OptiKPI V2.0 - Test Case Detail Register</t>
  </si>
  <si>
    <t>Source Tag</t>
  </si>
  <si>
    <t>Core Area</t>
  </si>
  <si>
    <t>Scenario / Description</t>
  </si>
  <si>
    <t>Priority</t>
  </si>
  <si>
    <t>Feature File</t>
  </si>
  <si>
    <t>Notes / Remarks</t>
  </si>
  <si>
    <t>REG-AUD-01</t>
  </si>
  <si>
    <t>Publish / Activation</t>
  </si>
  <si>
    <t>Publish Audience and verify it appears in the correct tab with Active status</t>
  </si>
  <si>
    <t>audience.feature</t>
  </si>
  <si>
    <t>Completed, executed, and working fine.</t>
  </si>
  <si>
    <t>REG-AUD-02</t>
  </si>
  <si>
    <t>Criteria / Metric</t>
  </si>
  <si>
    <t>Create Audience with Customer Metric criteria</t>
  </si>
  <si>
    <t>REG-AUD-03</t>
  </si>
  <si>
    <t>Criteria / Engagement</t>
  </si>
  <si>
    <t>Create Audience with Customer Engagement and Workflow attributes</t>
  </si>
  <si>
    <t>REG-AUD-04</t>
  </si>
  <si>
    <t>Criteria / Existing Audience</t>
  </si>
  <si>
    <t>Create Audience with Part of Audience criteria</t>
  </si>
  <si>
    <t>REG-AUD-05</t>
  </si>
  <si>
    <t>Criteria / Logic</t>
  </si>
  <si>
    <t>AND condition validation within a single criteria group</t>
  </si>
  <si>
    <t>REG-AUD-06</t>
  </si>
  <si>
    <t>OR group validation across multiple criteria groups</t>
  </si>
  <si>
    <t>REG-AUD-07</t>
  </si>
  <si>
    <t>Draft / Persistence</t>
  </si>
  <si>
    <t>Save as Draft and reopen Audience persists criteria data</t>
  </si>
  <si>
    <t>REG-AUD-08</t>
  </si>
  <si>
    <t>Criteria / Event</t>
  </si>
  <si>
    <t>Create Audience with Event and Occurrence criteria</t>
  </si>
  <si>
    <t>REG-AUD-09</t>
  </si>
  <si>
    <t>Edit a Published Audience and verify edit behaviour</t>
  </si>
  <si>
    <t>REG-AUD-10</t>
  </si>
  <si>
    <t>Duplicate an existing Audience and verify all fields are copied</t>
  </si>
  <si>
    <t>REG-AUD-11</t>
  </si>
  <si>
    <t>Preview</t>
  </si>
  <si>
    <t>Preview count updates in real time when criteria are added or removed</t>
  </si>
  <si>
    <t>REG-AUD-12</t>
  </si>
  <si>
    <t>Negative / Validation</t>
  </si>
  <si>
    <t>Saving an Audience without any criteria shows a validation error</t>
  </si>
  <si>
    <t>REG-AUD-13</t>
  </si>
  <si>
    <t>Entering text in a numeric criteria field shows a validation message</t>
  </si>
  <si>
    <t>REG-AUD-14</t>
  </si>
  <si>
    <t>UI / Navigation</t>
  </si>
  <si>
    <t>Navigation and UI consistency when switching tabs and views</t>
  </si>
  <si>
    <t>REG-AUD-15</t>
  </si>
  <si>
    <t>Action menu on Audience list shows all expected options</t>
  </si>
  <si>
    <t>REG-CAMP-01</t>
  </si>
  <si>
    <t>Publish Campaign after completing all steps and verify it appears in Active tab</t>
  </si>
  <si>
    <t>campaign.feature</t>
  </si>
  <si>
    <t>Automation script/coverage needs review.</t>
  </si>
  <si>
    <t>REG-CAMP-02</t>
  </si>
  <si>
    <t>Edit</t>
  </si>
  <si>
    <t>Edit Campaign name updates successfully</t>
  </si>
  <si>
    <t>REG-CAMP-03</t>
  </si>
  <si>
    <t>Campaign Goal</t>
  </si>
  <si>
    <t>Select Engagement goal (Click &amp; Open) and verify goal is saved correctly</t>
  </si>
  <si>
    <t>REG-CAMP-04</t>
  </si>
  <si>
    <t>Select Financial goal and verify goal is saved correctly</t>
  </si>
  <si>
    <t>REG-CAMP-05</t>
  </si>
  <si>
    <t>Select an Existing Audience and verify it is applied to the campaign</t>
  </si>
  <si>
    <t>REG-CAMP-06</t>
  </si>
  <si>
    <t>Audience Selection</t>
  </si>
  <si>
    <t>Set Control Group percentage and verify it is saved correctly</t>
  </si>
  <si>
    <t>REG-CAMP-07</t>
  </si>
  <si>
    <t>Campaign Trigger</t>
  </si>
  <si>
    <t>Set a Time-Based trigger and verify it is saved correctly</t>
  </si>
  <si>
    <t>REG-CAMP-08</t>
  </si>
  <si>
    <t>Set an Event-Based trigger with Login event and verify it is saved</t>
  </si>
  <si>
    <t>REG-CAMP-10</t>
  </si>
  <si>
    <t>Attempting to set trigger without configuring an event shows a validation error</t>
  </si>
  <si>
    <t>REG-CAMP-12</t>
  </si>
  <si>
    <t>Campaign Content</t>
  </si>
  <si>
    <t>Add Library Communication content to campaign and verify it is applied</t>
  </si>
  <si>
    <t>REG-CAMP-13</t>
  </si>
  <si>
    <t>Add a second Variant to the campaign communication and verify both are visible</t>
  </si>
  <si>
    <t>REG-CAMP-14</t>
  </si>
  <si>
    <t>Set Static percentage allocation for A/B variants and verify it is saved</t>
  </si>
  <si>
    <t>REG-CAMP-15</t>
  </si>
  <si>
    <t>Set Criteria-Based allocation for variants and verify criteria is applied</t>
  </si>
  <si>
    <t>REG-CAMP-16</t>
  </si>
  <si>
    <t>Save Campaign as Draft preserves the goal setting on re-opening</t>
  </si>
  <si>
    <t>REG-CAMP-17</t>
  </si>
  <si>
    <t>Campaign page loads and all status tabs navigate successfully</t>
  </si>
  <si>
    <t>REG-CAMP-18</t>
  </si>
  <si>
    <t>Edit Published Campaign shows Audience and Trigger fields as restricted</t>
  </si>
  <si>
    <t>REG-CAMP-19</t>
  </si>
  <si>
    <t>Duplicate Campaign copies all settings and appears in Draft tab</t>
  </si>
  <si>
    <t>REG-CAMP-20</t>
  </si>
  <si>
    <t>Delete a Draft Campaign and verify it is removed from all tabs</t>
  </si>
  <si>
    <t>REG-CAMP-21</t>
  </si>
  <si>
    <t>Pagination</t>
  </si>
  <si>
    <t>Pagination loads correct campaign data on each page</t>
  </si>
  <si>
    <t>REG-CAMP-22</t>
  </si>
  <si>
    <t>Search</t>
  </si>
  <si>
    <t>Search Campaign by name returns correct results and clears correctly</t>
  </si>
  <si>
    <t>REG-CAMP-23</t>
  </si>
  <si>
    <t>Filter</t>
  </si>
  <si>
    <t>Filter campaigns by status and verify only matching campaigns are shown</t>
  </si>
  <si>
    <t>REG-CAMP-24</t>
  </si>
  <si>
    <t>History Log</t>
  </si>
  <si>
    <t>Campaign History Log displays correct activity entries with timestamps</t>
  </si>
  <si>
    <t>REG-CAMP-25</t>
  </si>
  <si>
    <t>Reporting</t>
  </si>
  <si>
    <t>View Campaign Report loads and displays key metrics correctly</t>
  </si>
  <si>
    <t>REG-DASH-01</t>
  </si>
  <si>
    <t>Dashboard page loads successfully</t>
  </si>
  <si>
    <t>Dashboard v2 tab navigation</t>
  </si>
  <si>
    <t>dashboard.feature</t>
  </si>
  <si>
    <t>REG-DASH-02</t>
  </si>
  <si>
    <t>Dashboard filter interaction updates data</t>
  </si>
  <si>
    <t>Dashboard v2 global date range validation</t>
  </si>
  <si>
    <t>REG-SET-01</t>
  </si>
  <si>
    <t>Settings page loads successfully</t>
  </si>
  <si>
    <t>settings.feature</t>
  </si>
  <si>
    <t>REG-WORKFLOW-01</t>
  </si>
  <si>
    <t>Workflow page loads and all tabs navigate successfully</t>
  </si>
  <si>
    <t>workflow.feature</t>
  </si>
  <si>
    <t>REG-WORKFLOW-02</t>
  </si>
  <si>
    <t>Workflow Activation with error validation</t>
  </si>
  <si>
    <t>REG-WORKFLOW-03</t>
  </si>
  <si>
    <t>Workflow creation with Existing Audience enrollment and Delay node saved as Draft</t>
  </si>
  <si>
    <t>TC-CAMP-REG-03B</t>
  </si>
  <si>
    <t>Select Engagement goal Open and verify goal is saved correctly</t>
  </si>
  <si>
    <t>TC-CAMP-REG-11</t>
  </si>
  <si>
    <t>Enable Re-enroll customers toggle and set days configuration</t>
  </si>
  <si>
    <t>TC-DASH-REG-03</t>
  </si>
  <si>
    <t>Dashboard v2 custom date range persists across tabs</t>
  </si>
  <si>
    <t>TC-DASH-REG-04</t>
  </si>
  <si>
    <t>Dashboard v2 audience filter on Engagement tab</t>
  </si>
  <si>
    <t>TC-DASH-REG-05</t>
  </si>
  <si>
    <t>Dashboard v2 audience filter persists on Business Performance tab</t>
  </si>
  <si>
    <t>TC-DASH-REG-06</t>
  </si>
  <si>
    <t>Dashboard v2 reset audience filter</t>
  </si>
  <si>
    <t>Coverage by Core Functional Area</t>
  </si>
  <si>
    <t>TC Count</t>
  </si>
  <si>
    <t>Modules Covered</t>
  </si>
  <si>
    <t>Coverage Tier</t>
  </si>
  <si>
    <t>Legend, Color Codes &amp; How-To Guide</t>
  </si>
  <si>
    <t>Module Color Codes</t>
  </si>
  <si>
    <t>Module: Audience - background color used across all tabs</t>
  </si>
  <si>
    <t>Module: Campaign - background color used across all tabs</t>
  </si>
  <si>
    <t>Module: Dashboard - background color used across all tabs</t>
  </si>
  <si>
    <t>Module: Settings - background color used across all tabs</t>
  </si>
  <si>
    <t>Module: Workflow - background color used across all tabs</t>
  </si>
  <si>
    <t>Automation Status Badges</t>
  </si>
  <si>
    <t>Test case is implemented, executed, and working fine</t>
  </si>
  <si>
    <t>Automation exists or is planned, but requires review before marking complete</t>
  </si>
  <si>
    <t>Blocked</t>
  </si>
  <si>
    <t>Automation is blocked by dependency, environment issue, or defect</t>
  </si>
  <si>
    <t>Priority Levels</t>
  </si>
  <si>
    <t>High Priority</t>
  </si>
  <si>
    <t>Critical path - core business flows; must pass every release</t>
  </si>
  <si>
    <t>Medium Priority</t>
  </si>
  <si>
    <t>Important but not release-blocking; run on regression cycles</t>
  </si>
  <si>
    <t>Core</t>
  </si>
  <si>
    <t>High-frequency area; critical coverage</t>
  </si>
  <si>
    <t>Standard</t>
  </si>
  <si>
    <t>Moderate-frequency area</t>
  </si>
  <si>
    <t>Supplemental</t>
  </si>
  <si>
    <t>Lower-frequency area or edge-case coverage</t>
  </si>
  <si>
    <t>How to Update This Sheet</t>
  </si>
  <si>
    <t>Changing Status</t>
  </si>
  <si>
    <t>Update the Status column in Test Case Detail. Dashboard counts update automatically through formulas.</t>
  </si>
  <si>
    <t>Dashboard counts</t>
  </si>
  <si>
    <t>Formula-driven summary based on Test Case Detail.</t>
  </si>
  <si>
    <t>Auto-filter</t>
  </si>
  <si>
    <t>Use the dropdown arrows in row 2 of Test Case Detail to filter by Module, Priority, Status, or Core Area.</t>
  </si>
  <si>
    <t>Use the dropdown arrows in row 2 of the Detail tab to filter by Module, Priority, Status, or Core Area.</t>
  </si>
  <si>
    <t>📌  Project Info</t>
  </si>
  <si>
    <t>Project</t>
  </si>
  <si>
    <t>OptiKPI V2.0 — Customer Engagement Platform</t>
  </si>
  <si>
    <t>Test Framework</t>
  </si>
  <si>
    <t>Playwright + Cucumber.js (TypeScript) — BDD Regression Suite</t>
  </si>
  <si>
    <t>Modules</t>
  </si>
  <si>
    <t>Audience | Campaign | Dashboard | Settings | Workflow</t>
  </si>
  <si>
    <t>Generated</t>
  </si>
  <si>
    <t>01 July 2026 — auto-generated from automation-coverage-core.csv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</si>
</sst>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olor theme="1"/>
      <sz val="10"/>
      <name val="Aptos"/>
    </font>
    <font>
      <b/>
      <color rgb="FFFFFFFF"/>
      <sz val="16"/>
      <name val="Aptos"/>
    </font>
    <font/>
    <font>
      <i/>
      <color rgb="FF1F2937"/>
      <sz val="10"/>
      <name val="Aptos"/>
    </font>
    <font>
      <b/>
      <color rgb="FF1F2937"/>
      <sz val="10"/>
      <name val="Aptos"/>
    </font>
    <font>
      <b/>
      <i/>
      <color rgb="FF1F2937"/>
      <sz val="10"/>
      <name val="Aptos"/>
    </font>
    <font>
      <b/>
      <color rgb="FFFFFFFF"/>
      <sz val="10"/>
      <name val="Aptos"/>
    </font>
    <font>
      <color rgb="FF343A40"/>
      <sz val="10"/>
      <name val="Aptos"/>
    </font>
    <font>
      <b/>
      <color rgb="FF343A40"/>
      <sz val="10"/>
      <name val="Aptos"/>
    </font>
    <font>
      <b/>
      <color rgb="FF343A40"/>
      <sz val="10"/>
      <name val="Arial"/>
    </font>
    <font>
      <b/>
      <color rgb="FFFFFFFF"/>
      <sz val="15"/>
      <name val="Aptos"/>
    </font>
    <font>
      <b/>
      <color rgb="FFC0392B"/>
      <sz val="10"/>
      <name val="Aptos"/>
    </font>
    <font>
      <b/>
      <color rgb="FF1E8449"/>
      <sz val="10"/>
      <name val="Aptos"/>
    </font>
    <font>
      <b/>
      <color rgb="FFE67E22"/>
      <sz val="10"/>
      <name val="Aptos"/>
    </font>
    <font>
      <b/>
      <color rgb="FF1E8449"/>
      <sz val="10"/>
      <name val="Arial"/>
    </font>
    <font>
      <b/>
      <color rgb="FF2E75B6"/>
      <sz val="10"/>
      <name val="Aptos"/>
    </font>
    <font>
      <b/>
      <color rgb="FFB7950B"/>
      <sz val="10"/>
      <name val="Aptos"/>
    </font>
  </fonts>
  <fills count="27">
    <fill>
      <patternFill patternType="none"/>
    </fill>
    <fill>
      <patternFill patternType="gray125"/>
    </fill>
    <fill>
      <patternFill patternType="solid">
        <fgColor rgb="FF0F4C81"/>
        <bgColor rgb="FF0F4C81"/>
      </patternFill>
    </fill>
    <fill>
      <patternFill patternType="solid">
        <fgColor rgb="FFEAF2F8"/>
        <bgColor rgb="FFEAF2F8"/>
      </patternFill>
    </fill>
    <fill>
      <patternFill patternType="solid">
        <fgColor rgb="FF1F3864"/>
        <bgColor rgb="FF1F3864"/>
      </patternFill>
    </fill>
    <fill>
      <patternFill patternType="solid">
        <fgColor rgb="FF1E8449"/>
        <bgColor rgb="FF1E8449"/>
      </patternFill>
    </fill>
    <fill>
      <patternFill patternType="solid">
        <fgColor rgb="FF2E75B6"/>
        <bgColor rgb="FF2E75B6"/>
      </patternFill>
    </fill>
    <fill>
      <patternFill patternType="solid">
        <fgColor rgb="FF8B0000"/>
        <bgColor rgb="FF8B0000"/>
      </patternFill>
    </fill>
    <fill>
      <patternFill patternType="solid">
        <fgColor rgb="FFF5F7FA"/>
        <bgColor rgb="FFF5F7FA"/>
      </patternFill>
    </fill>
    <fill>
      <patternFill patternType="solid">
        <fgColor rgb="FFD9EAF7"/>
        <bgColor rgb="FFD9EAF7"/>
      </patternFill>
    </fill>
    <fill>
      <patternFill patternType="solid">
        <fgColor rgb="FFEAF2FF"/>
        <bgColor rgb="FFEAF2FF"/>
      </patternFill>
    </fill>
    <fill>
      <patternFill patternType="solid">
        <fgColor rgb="FFD5F5E3"/>
        <bgColor rgb="FFD5F5E3"/>
      </patternFill>
    </fill>
    <fill>
      <patternFill patternType="solid">
        <fgColor rgb="FFE67E22"/>
        <bgColor rgb="FFE67E22"/>
      </patternFill>
    </fill>
    <fill>
      <patternFill patternType="solid">
        <fgColor rgb="FFFFF3E0"/>
        <bgColor rgb="FFFFF3E0"/>
      </patternFill>
    </fill>
    <fill>
      <patternFill patternType="solid">
        <fgColor rgb="FF8E44AD"/>
        <bgColor rgb="FF8E44AD"/>
      </patternFill>
    </fill>
    <fill>
      <patternFill patternType="solid">
        <fgColor rgb="FFF3E5F5"/>
        <bgColor rgb="FFF3E5F5"/>
      </patternFill>
    </fill>
    <fill>
      <patternFill patternType="solid">
        <fgColor rgb="FF27AE60"/>
        <bgColor rgb="FF27AE60"/>
      </patternFill>
    </fill>
    <fill>
      <patternFill patternType="solid">
        <fgColor rgb="FFE8F5E9"/>
        <bgColor rgb="FFE8F5E9"/>
      </patternFill>
    </fill>
    <fill>
      <patternFill patternType="solid">
        <fgColor rgb="FFC0392B"/>
        <bgColor rgb="FFC0392B"/>
      </patternFill>
    </fill>
    <fill>
      <patternFill patternType="solid">
        <fgColor rgb="FFFCE4EC"/>
        <bgColor rgb="FFFCE4EC"/>
      </patternFill>
    </fill>
    <fill>
      <patternFill patternType="solid">
        <fgColor rgb="FFE2E8F0"/>
        <bgColor rgb="FFE2E8F0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FFF9C4"/>
        <bgColor rgb="FFFFF9C4"/>
      </patternFill>
    </fill>
    <fill>
      <patternFill patternType="solid">
        <fgColor rgb="FFEBF5FB"/>
        <bgColor rgb="FFEBF5FB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5" fillId="8" borderId="0" xfId="0" applyFont="1" applyFill="1" applyAlignment="1">
      <alignment horizontal="center" vertical="center" wrapText="1"/>
    </xf>
    <xf numFmtId="9" fontId="5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9" fontId="8" fillId="10" borderId="7" xfId="0" applyNumberFormat="1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9" fontId="8" fillId="13" borderId="7" xfId="0" applyNumberFormat="1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 readingOrder="1"/>
    </xf>
    <xf numFmtId="0" fontId="7" fillId="14" borderId="7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9" fontId="8" fillId="15" borderId="7" xfId="0" applyNumberFormat="1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center" vertical="center" wrapText="1"/>
    </xf>
    <xf numFmtId="9" fontId="8" fillId="17" borderId="7" xfId="0" applyNumberFormat="1" applyFont="1" applyFill="1" applyBorder="1" applyAlignment="1">
      <alignment horizontal="center" vertical="center" wrapText="1"/>
    </xf>
    <xf numFmtId="0" fontId="7" fillId="18" borderId="7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9" fontId="8" fillId="19" borderId="7" xfId="0" applyNumberFormat="1" applyFont="1" applyFill="1" applyBorder="1" applyAlignment="1">
      <alignment horizontal="center" vertical="center" wrapText="1"/>
    </xf>
    <xf numFmtId="0" fontId="5" fillId="20" borderId="8" xfId="0" applyFont="1" applyFill="1" applyBorder="1" applyAlignment="1">
      <alignment horizontal="center" vertical="center" wrapText="1"/>
    </xf>
    <xf numFmtId="9" fontId="5" fillId="20" borderId="8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top" wrapText="1"/>
    </xf>
    <xf numFmtId="0" fontId="8" fillId="10" borderId="7" xfId="0" applyFont="1" applyFill="1" applyBorder="1" applyAlignment="1">
      <alignment horizontal="center" vertical="top" wrapText="1"/>
    </xf>
    <xf numFmtId="0" fontId="12" fillId="21" borderId="7" xfId="0" applyFont="1" applyFill="1" applyBorder="1" applyAlignment="1">
      <alignment horizontal="center" vertical="top" wrapText="1"/>
    </xf>
    <xf numFmtId="0" fontId="13" fillId="11" borderId="7" xfId="0" applyFont="1" applyFill="1" applyBorder="1" applyAlignment="1">
      <alignment horizontal="center" vertical="top" wrapText="1"/>
    </xf>
    <xf numFmtId="0" fontId="14" fillId="22" borderId="7" xfId="0" applyFont="1" applyFill="1" applyBorder="1" applyAlignment="1">
      <alignment horizontal="center" vertical="top" wrapText="1"/>
    </xf>
    <xf numFmtId="0" fontId="7" fillId="12" borderId="7" xfId="0" applyFont="1" applyFill="1" applyBorder="1" applyAlignment="1">
      <alignment horizontal="center" vertical="top" wrapText="1"/>
    </xf>
    <xf numFmtId="0" fontId="8" fillId="13" borderId="7" xfId="0" applyFont="1" applyFill="1" applyBorder="1" applyAlignment="1">
      <alignment horizontal="center" vertical="top" wrapText="1"/>
    </xf>
    <xf numFmtId="0" fontId="15" fillId="11" borderId="7" xfId="0" applyFont="1" applyFill="1" applyBorder="1" applyAlignment="1">
      <alignment horizontal="center" vertical="top" wrapText="1" readingOrder="1"/>
    </xf>
    <xf numFmtId="0" fontId="7" fillId="14" borderId="7" xfId="0" applyFont="1" applyFill="1" applyBorder="1" applyAlignment="1">
      <alignment horizontal="center" vertical="top" wrapText="1"/>
    </xf>
    <xf numFmtId="0" fontId="8" fillId="15" borderId="7" xfId="0" applyFont="1" applyFill="1" applyBorder="1" applyAlignment="1">
      <alignment horizontal="center" vertical="top" wrapText="1"/>
    </xf>
    <xf numFmtId="0" fontId="7" fillId="16" borderId="7" xfId="0" applyFont="1" applyFill="1" applyBorder="1" applyAlignment="1">
      <alignment horizontal="center" vertical="top" wrapText="1"/>
    </xf>
    <xf numFmtId="0" fontId="8" fillId="17" borderId="7" xfId="0" applyFont="1" applyFill="1" applyBorder="1" applyAlignment="1">
      <alignment horizontal="center" vertical="top" wrapText="1"/>
    </xf>
    <xf numFmtId="0" fontId="7" fillId="18" borderId="7" xfId="0" applyFont="1" applyFill="1" applyBorder="1" applyAlignment="1">
      <alignment horizontal="center" vertical="top" wrapText="1"/>
    </xf>
    <xf numFmtId="0" fontId="8" fillId="19" borderId="7" xfId="0" applyFont="1" applyFill="1" applyBorder="1" applyAlignment="1">
      <alignment horizontal="center" vertical="top" wrapText="1"/>
    </xf>
    <xf numFmtId="0" fontId="5" fillId="20" borderId="0" xfId="0" applyFont="1" applyFill="1" applyAlignment="1">
      <alignment horizontal="center" vertical="center" wrapText="1"/>
    </xf>
    <xf numFmtId="0" fontId="9" fillId="23" borderId="7" xfId="0" applyFont="1" applyFill="1" applyBorder="1" applyAlignment="1">
      <alignment horizontal="left" vertical="top" wrapText="1"/>
    </xf>
    <xf numFmtId="0" fontId="16" fillId="23" borderId="7" xfId="0" applyFont="1" applyFill="1" applyBorder="1" applyAlignment="1">
      <alignment horizontal="center" vertical="top" wrapText="1"/>
    </xf>
    <xf numFmtId="0" fontId="8" fillId="23" borderId="7" xfId="0" applyFont="1" applyFill="1" applyBorder="1" applyAlignment="1">
      <alignment horizontal="center" vertical="top" wrapText="1"/>
    </xf>
    <xf numFmtId="0" fontId="9" fillId="24" borderId="7" xfId="0" applyFont="1" applyFill="1" applyBorder="1" applyAlignment="1">
      <alignment horizontal="left" vertical="top" wrapText="1"/>
    </xf>
    <xf numFmtId="0" fontId="16" fillId="24" borderId="7" xfId="0" applyFont="1" applyFill="1" applyBorder="1" applyAlignment="1">
      <alignment horizontal="center" vertical="top" wrapText="1"/>
    </xf>
    <xf numFmtId="0" fontId="8" fillId="24" borderId="7" xfId="0" applyFont="1" applyFill="1" applyBorder="1" applyAlignment="1">
      <alignment horizontal="center" vertical="top" wrapText="1"/>
    </xf>
    <xf numFmtId="0" fontId="17" fillId="25" borderId="7" xfId="0" applyFont="1" applyFill="1" applyBorder="1" applyAlignment="1">
      <alignment horizontal="center" vertical="top" wrapText="1"/>
    </xf>
    <xf numFmtId="0" fontId="16" fillId="26" borderId="7" xfId="0" applyFont="1" applyFill="1" applyBorder="1" applyAlignment="1">
      <alignment horizontal="center" vertical="top" wrapText="1"/>
    </xf>
    <xf numFmtId="0" fontId="5" fillId="9" borderId="0" xfId="0" applyFont="1" applyFill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12" borderId="7" xfId="0" applyFont="1" applyFill="1" applyBorder="1" applyAlignment="1">
      <alignment horizontal="left" vertical="center" wrapText="1"/>
    </xf>
    <xf numFmtId="0" fontId="7" fillId="14" borderId="7" xfId="0" applyFont="1" applyFill="1" applyBorder="1" applyAlignment="1">
      <alignment horizontal="left" vertical="center" wrapText="1"/>
    </xf>
    <xf numFmtId="0" fontId="7" fillId="16" borderId="7" xfId="0" applyFont="1" applyFill="1" applyBorder="1" applyAlignment="1">
      <alignment horizontal="left" vertical="center" wrapText="1"/>
    </xf>
    <xf numFmtId="0" fontId="7" fillId="18" borderId="7" xfId="0" applyFont="1" applyFill="1" applyBorder="1" applyAlignment="1">
      <alignment horizontal="left" vertical="center" wrapText="1"/>
    </xf>
    <xf numFmtId="0" fontId="13" fillId="11" borderId="7" xfId="0" applyFont="1" applyFill="1" applyBorder="1" applyAlignment="1">
      <alignment horizontal="left" vertical="center" wrapText="1"/>
    </xf>
    <xf numFmtId="0" fontId="17" fillId="25" borderId="7" xfId="0" applyFont="1" applyFill="1" applyBorder="1" applyAlignment="1">
      <alignment horizontal="left" vertical="center" wrapText="1"/>
    </xf>
    <xf numFmtId="0" fontId="12" fillId="21" borderId="7" xfId="0" applyFont="1" applyFill="1" applyBorder="1" applyAlignment="1">
      <alignment horizontal="left" vertical="center" wrapText="1"/>
    </xf>
    <xf numFmtId="0" fontId="14" fillId="22" borderId="7" xfId="0" applyFont="1" applyFill="1" applyBorder="1" applyAlignment="1">
      <alignment horizontal="left" vertical="center" wrapText="1"/>
    </xf>
    <xf numFmtId="0" fontId="16" fillId="26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3">
    <dxf>
      <font>
        <b/>
        <color rgb="FF166534"/>
      </font>
      <fill>
        <patternFill patternType="solid">
          <fgColor rgb="FFE2F0D9"/>
          <bgColor rgb="FFE2F0D9"/>
        </patternFill>
      </fill>
      <border>
        <left/>
        <right/>
        <top/>
        <bottom/>
        <diagonal/>
      </border>
    </dxf>
    <dxf>
      <font>
        <b/>
        <color rgb="FF7C2D12"/>
      </font>
      <fill>
        <patternFill patternType="solid">
          <fgColor rgb="FFFFF2CC"/>
          <bgColor rgb="FFFFF2CC"/>
        </patternFill>
      </fill>
      <border>
        <left/>
        <right/>
        <top/>
        <bottom/>
        <diagonal/>
      </border>
    </dxf>
    <dxf>
      <font>
        <b/>
        <color rgb="FF991B1B"/>
      </font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I968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" customWidth="1"/>
    <col min="2" max="2" width="27.14" customWidth="1"/>
    <col min="3" max="9" width="18" customWidth="1"/>
    <col min="10" max="26" width="8.71" customWidth="1"/>
  </cols>
  <sheetData>
    <row r="1" ht="15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.75" customHeight="1" spans="1:9" x14ac:dyDescent="0.25">
      <c r="A2" s="1"/>
      <c r="B2" s="2" t="s">
        <v>0</v>
      </c>
      <c r="C2" s="3"/>
      <c r="D2" s="3"/>
      <c r="E2" s="3"/>
      <c r="F2" s="3"/>
      <c r="G2" s="3"/>
      <c r="H2" s="3"/>
      <c r="I2" s="4"/>
    </row>
    <row r="3" ht="15" customHeight="1" spans="1:9" x14ac:dyDescent="0.25">
      <c r="A3" s="1"/>
      <c r="B3" s="5" t="s">
        <v>1</v>
      </c>
      <c r="C3" s="6"/>
      <c r="D3" s="6"/>
      <c r="E3" s="6"/>
      <c r="F3" s="6"/>
      <c r="G3" s="6"/>
      <c r="H3" s="6"/>
      <c r="I3" s="7"/>
    </row>
    <row r="4" ht="1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5" customHeight="1" spans="1:9" x14ac:dyDescent="0.25">
      <c r="A5" s="1"/>
      <c r="B5" s="8"/>
      <c r="C5"/>
      <c r="D5" s="9"/>
      <c r="E5"/>
      <c r="F5" s="10"/>
      <c r="G5"/>
      <c r="H5" s="11"/>
      <c r="I5"/>
    </row>
    <row r="6" ht="15" customHeight="1" spans="1:9" x14ac:dyDescent="0.25">
      <c r="A6" s="1"/>
      <c r="B6" s="12">
        <v>50</v>
      </c>
      <c r="C6"/>
      <c r="D6" s="12">
        <v>50</v>
      </c>
      <c r="E6"/>
      <c r="F6" s="13">
        <v>1</v>
      </c>
      <c r="G6"/>
      <c r="H6" s="12">
        <v>0</v>
      </c>
      <c r="I6"/>
    </row>
    <row r="7" ht="15" customHeight="1" spans="1:9" x14ac:dyDescent="0.25">
      <c r="A7" s="1"/>
      <c r="B7" s="14" t="s">
        <v>2</v>
      </c>
      <c r="C7"/>
      <c r="D7" s="14" t="s">
        <v>3</v>
      </c>
      <c r="E7"/>
      <c r="F7" s="14" t="s">
        <v>4</v>
      </c>
      <c r="G7"/>
      <c r="H7" s="14" t="s">
        <v>5</v>
      </c>
      <c r="I7"/>
    </row>
    <row r="8" ht="15" customHeight="1" spans="1:9" x14ac:dyDescent="0.25">
      <c r="A8" s="1"/>
      <c r="B8" s="8"/>
      <c r="C8"/>
      <c r="D8" s="9"/>
      <c r="E8"/>
      <c r="F8" s="10"/>
      <c r="G8"/>
      <c r="H8" s="11"/>
      <c r="I8"/>
    </row>
    <row r="9" ht="15" customHeight="1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ht="21" customHeight="1" spans="1:9" x14ac:dyDescent="0.25">
      <c r="A10" s="1"/>
      <c r="B10" s="15" t="s">
        <v>6</v>
      </c>
      <c r="C10"/>
      <c r="D10"/>
      <c r="E10"/>
      <c r="F10"/>
      <c r="G10"/>
      <c r="H10"/>
      <c r="I10"/>
    </row>
    <row r="11" ht="21" customHeight="1" spans="1:9" x14ac:dyDescent="0.25">
      <c r="A11" s="1"/>
      <c r="B11" s="16" t="s">
        <v>7</v>
      </c>
      <c r="C11" s="16" t="s">
        <v>8</v>
      </c>
      <c r="D11" s="16" t="s">
        <v>3</v>
      </c>
      <c r="E11" s="16" t="s">
        <v>5</v>
      </c>
      <c r="F11" s="16" t="s">
        <v>4</v>
      </c>
      <c r="G11" s="16" t="s">
        <v>9</v>
      </c>
      <c r="H11" s="16" t="s">
        <v>10</v>
      </c>
      <c r="I11" s="16" t="s">
        <v>11</v>
      </c>
    </row>
    <row r="12" ht="21" customHeight="1" spans="1:9" x14ac:dyDescent="0.25">
      <c r="A12" s="1"/>
      <c r="B12" s="17" t="s">
        <v>12</v>
      </c>
      <c r="C12" s="18">
        <f>COUNTIF('Test Case Detail'!$A$3:$A$46,B12)</f>
        <v>15</v>
      </c>
      <c r="D12" s="18">
        <f>COUNTIFS('Test Case Detail'!$A$3:$A$46,B12,'Test Case Detail'!$F$3:$F$46,"Automated")</f>
        <v>15</v>
      </c>
      <c r="E12" s="18">
        <f>COUNTIFS('Test Case Detail'!$A$3:$A$46,B12,'Test Case Detail'!$F$3:$F$46,"Needs Review")</f>
        <v>0</v>
      </c>
      <c r="F12" s="19">
        <f t="shared" ref="F12:F17" si="0">IFERROR(D12/C12,0)</f>
        <v>1</v>
      </c>
      <c r="G12" s="18">
        <f>COUNTIFS('Test Case Detail'!$A$3:$A$46,B12,'Test Case Detail'!$E$3:$E$46,"High")</f>
        <v>13</v>
      </c>
      <c r="H12" s="18">
        <f>COUNTIFS('Test Case Detail'!$A$3:$A$46,B12,'Test Case Detail'!$E$3:$E$46,"Medium")</f>
        <v>2</v>
      </c>
      <c r="I12" s="20" t="str">
        <f>IF(E12=0,"Complete","Needs Review")</f>
        <v>Complete</v>
      </c>
    </row>
    <row r="13" ht="21" customHeight="1" spans="1:9" x14ac:dyDescent="0.25">
      <c r="A13" s="1"/>
      <c r="B13" s="21" t="s">
        <v>13</v>
      </c>
      <c r="C13" s="22">
        <v>25</v>
      </c>
      <c r="D13" s="22">
        <v>25</v>
      </c>
      <c r="E13" s="22">
        <v>0</v>
      </c>
      <c r="F13" s="23">
        <v>1</v>
      </c>
      <c r="G13" s="22">
        <f>COUNTIFS('Test Case Detail'!$A$3:$A$46,B13,'Test Case Detail'!$E$3:$E$46,"High")</f>
        <v>20</v>
      </c>
      <c r="H13" s="22">
        <f>COUNTIFS('Test Case Detail'!$A$3:$A$46,B13,'Test Case Detail'!$E$3:$E$46,"Medium")</f>
        <v>3</v>
      </c>
      <c r="I13" s="24" t="s">
        <v>14</v>
      </c>
    </row>
    <row r="14" ht="21" customHeight="1" spans="1:9" x14ac:dyDescent="0.25">
      <c r="A14" s="1"/>
      <c r="B14" s="25" t="s">
        <v>15</v>
      </c>
      <c r="C14" s="26">
        <v>6</v>
      </c>
      <c r="D14" s="26">
        <v>6</v>
      </c>
      <c r="E14" s="26">
        <v>0</v>
      </c>
      <c r="F14" s="27">
        <v>1</v>
      </c>
      <c r="G14" s="26">
        <f>COUNTIFS('Test Case Detail'!$A$3:$A$46,B14,'Test Case Detail'!$E$3:$E$46,"High")</f>
        <v>1</v>
      </c>
      <c r="H14" s="26">
        <f>COUNTIFS('Test Case Detail'!$A$3:$A$46,B14,'Test Case Detail'!$E$3:$E$46,"Medium")</f>
        <v>1</v>
      </c>
      <c r="I14" s="20" t="s">
        <v>14</v>
      </c>
    </row>
    <row r="15" ht="21" customHeight="1" spans="1:9" x14ac:dyDescent="0.25">
      <c r="A15" s="1"/>
      <c r="B15" s="28" t="s">
        <v>16</v>
      </c>
      <c r="C15" s="29">
        <v>1</v>
      </c>
      <c r="D15" s="29">
        <v>1</v>
      </c>
      <c r="E15" s="29">
        <v>0</v>
      </c>
      <c r="F15" s="30">
        <v>1</v>
      </c>
      <c r="G15" s="29">
        <f>COUNTIFS('Test Case Detail'!$A$3:$A$46,B15,'Test Case Detail'!$E$3:$E$46,"High")</f>
        <v>0</v>
      </c>
      <c r="H15" s="29">
        <f>COUNTIFS('Test Case Detail'!$A$3:$A$46,B15,'Test Case Detail'!$E$3:$E$46,"Medium")</f>
        <v>1</v>
      </c>
      <c r="I15" s="20" t="s">
        <v>14</v>
      </c>
    </row>
    <row r="16" ht="21" customHeight="1" spans="1:9" x14ac:dyDescent="0.25">
      <c r="A16" s="1"/>
      <c r="B16" s="31" t="s">
        <v>17</v>
      </c>
      <c r="C16" s="32">
        <v>3</v>
      </c>
      <c r="D16" s="32">
        <v>3</v>
      </c>
      <c r="E16" s="32">
        <v>0</v>
      </c>
      <c r="F16" s="33">
        <v>1</v>
      </c>
      <c r="G16" s="32">
        <f>COUNTIFS('Test Case Detail'!$A$3:$A$46,B16,'Test Case Detail'!$E$3:$E$46,"High")</f>
        <v>2</v>
      </c>
      <c r="H16" s="32">
        <f>COUNTIFS('Test Case Detail'!$A$3:$A$46,B16,'Test Case Detail'!$E$3:$E$46,"Medium")</f>
        <v>1</v>
      </c>
      <c r="I16" s="20" t="s">
        <v>14</v>
      </c>
    </row>
    <row r="17" ht="21" customHeight="1" spans="1:9" x14ac:dyDescent="0.25">
      <c r="A17" s="1"/>
      <c r="B17" s="34" t="s">
        <v>18</v>
      </c>
      <c r="C17" s="34">
        <v>50</v>
      </c>
      <c r="D17" s="34">
        <v>50</v>
      </c>
      <c r="E17" s="34">
        <v>0</v>
      </c>
      <c r="F17" s="35">
        <v>1</v>
      </c>
      <c r="G17" s="34">
        <f t="shared" ref="G17:H17" si="1">SUM(G12:G16)</f>
        <v>36</v>
      </c>
      <c r="H17" s="34">
        <f t="shared" si="1"/>
        <v>8</v>
      </c>
      <c r="I17" s="34" t="s">
        <v>14</v>
      </c>
    </row>
    <row r="18" ht="15" customHeight="1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ht="15" customHeight="1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ht="15" customHeight="1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ht="15" customHeight="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ht="15" customHeight="1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ht="1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15" customHeight="1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ht="15" customHeight="1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ht="15" customHeight="1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ht="15" customHeight="1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ht="15" customHeight="1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mergeCells count="19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I10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K1006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1.71" customWidth="1"/>
    <col min="2" max="2" width="16.86" customWidth="1"/>
    <col min="3" max="3" width="22.71" customWidth="1"/>
    <col min="4" max="4" width="44.29" customWidth="1"/>
    <col min="5" max="5" width="13.29" customWidth="1"/>
    <col min="6" max="6" width="22.57" customWidth="1"/>
    <col min="7" max="7" width="21.71" customWidth="1"/>
    <col min="8" max="8" width="37" customWidth="1"/>
    <col min="9" max="25" width="21.71" customWidth="1"/>
  </cols>
  <sheetData>
    <row r="1" ht="28.5" customHeight="1" spans="1:8" x14ac:dyDescent="0.25">
      <c r="A1" s="36" t="s">
        <v>19</v>
      </c>
      <c r="B1"/>
      <c r="C1"/>
      <c r="D1"/>
      <c r="E1"/>
      <c r="F1"/>
      <c r="G1"/>
      <c r="H1"/>
    </row>
    <row r="2" ht="28.5" customHeight="1" spans="1:8" x14ac:dyDescent="0.25">
      <c r="A2" s="16" t="s">
        <v>7</v>
      </c>
      <c r="B2" s="16" t="s">
        <v>20</v>
      </c>
      <c r="C2" s="16" t="s">
        <v>21</v>
      </c>
      <c r="D2" s="16" t="s">
        <v>22</v>
      </c>
      <c r="E2" s="16" t="s">
        <v>23</v>
      </c>
      <c r="F2" s="16" t="s">
        <v>11</v>
      </c>
      <c r="G2" s="16" t="s">
        <v>24</v>
      </c>
      <c r="H2" s="16" t="s">
        <v>25</v>
      </c>
    </row>
    <row r="3" ht="28.5" customHeight="1" spans="1:10" x14ac:dyDescent="0.25">
      <c r="A3" s="37" t="s">
        <v>12</v>
      </c>
      <c r="B3" s="38" t="s">
        <v>26</v>
      </c>
      <c r="C3" s="38" t="s">
        <v>27</v>
      </c>
      <c r="D3" s="38" t="s">
        <v>28</v>
      </c>
      <c r="E3" s="39" t="s">
        <v>9</v>
      </c>
      <c r="F3" s="40" t="s">
        <v>3</v>
      </c>
      <c r="G3" s="38" t="s">
        <v>29</v>
      </c>
      <c r="H3" s="38" t="s">
        <v>30</v>
      </c>
      <c r="J3" t="s">
        <v>3</v>
      </c>
    </row>
    <row r="4" ht="28.5" customHeight="1" spans="1:10" x14ac:dyDescent="0.25">
      <c r="A4" s="37" t="s">
        <v>12</v>
      </c>
      <c r="B4" s="38" t="s">
        <v>31</v>
      </c>
      <c r="C4" s="38" t="s">
        <v>32</v>
      </c>
      <c r="D4" s="38" t="s">
        <v>33</v>
      </c>
      <c r="E4" s="39" t="s">
        <v>9</v>
      </c>
      <c r="F4" s="40" t="s">
        <v>3</v>
      </c>
      <c r="G4" s="38" t="s">
        <v>29</v>
      </c>
      <c r="H4" s="38" t="s">
        <v>30</v>
      </c>
      <c r="J4" t="s">
        <v>3</v>
      </c>
    </row>
    <row r="5" ht="28.5" customHeight="1" spans="1:10" x14ac:dyDescent="0.25">
      <c r="A5" s="37" t="s">
        <v>12</v>
      </c>
      <c r="B5" s="38" t="s">
        <v>34</v>
      </c>
      <c r="C5" s="38" t="s">
        <v>35</v>
      </c>
      <c r="D5" s="38" t="s">
        <v>36</v>
      </c>
      <c r="E5" s="39" t="s">
        <v>9</v>
      </c>
      <c r="F5" s="40" t="s">
        <v>3</v>
      </c>
      <c r="G5" s="38" t="s">
        <v>29</v>
      </c>
      <c r="H5" s="38" t="s">
        <v>30</v>
      </c>
      <c r="J5" t="s">
        <v>3</v>
      </c>
    </row>
    <row r="6" ht="28.5" customHeight="1" spans="1:10" x14ac:dyDescent="0.25">
      <c r="A6" s="37" t="s">
        <v>12</v>
      </c>
      <c r="B6" s="38" t="s">
        <v>37</v>
      </c>
      <c r="C6" s="38" t="s">
        <v>38</v>
      </c>
      <c r="D6" s="38" t="s">
        <v>39</v>
      </c>
      <c r="E6" s="39" t="s">
        <v>9</v>
      </c>
      <c r="F6" s="40" t="s">
        <v>3</v>
      </c>
      <c r="G6" s="38" t="s">
        <v>29</v>
      </c>
      <c r="H6" s="38" t="s">
        <v>30</v>
      </c>
      <c r="J6" t="s">
        <v>3</v>
      </c>
    </row>
    <row r="7" ht="28.5" customHeight="1" spans="1:10" x14ac:dyDescent="0.25">
      <c r="A7" s="37" t="s">
        <v>12</v>
      </c>
      <c r="B7" s="38" t="s">
        <v>40</v>
      </c>
      <c r="C7" s="38" t="s">
        <v>41</v>
      </c>
      <c r="D7" s="38" t="s">
        <v>42</v>
      </c>
      <c r="E7" s="39" t="s">
        <v>9</v>
      </c>
      <c r="F7" s="40" t="s">
        <v>3</v>
      </c>
      <c r="G7" s="38" t="s">
        <v>29</v>
      </c>
      <c r="H7" s="38" t="s">
        <v>30</v>
      </c>
      <c r="J7" t="s">
        <v>3</v>
      </c>
    </row>
    <row r="8" ht="28.5" customHeight="1" spans="1:10" x14ac:dyDescent="0.25">
      <c r="A8" s="37" t="s">
        <v>12</v>
      </c>
      <c r="B8" s="38" t="s">
        <v>43</v>
      </c>
      <c r="C8" s="38" t="s">
        <v>41</v>
      </c>
      <c r="D8" s="38" t="s">
        <v>44</v>
      </c>
      <c r="E8" s="39" t="s">
        <v>9</v>
      </c>
      <c r="F8" s="40" t="s">
        <v>3</v>
      </c>
      <c r="G8" s="38" t="s">
        <v>29</v>
      </c>
      <c r="H8" s="38" t="s">
        <v>30</v>
      </c>
      <c r="J8" t="s">
        <v>3</v>
      </c>
    </row>
    <row r="9" ht="28.5" customHeight="1" spans="1:10" x14ac:dyDescent="0.25">
      <c r="A9" s="37" t="s">
        <v>12</v>
      </c>
      <c r="B9" s="38" t="s">
        <v>45</v>
      </c>
      <c r="C9" s="38" t="s">
        <v>46</v>
      </c>
      <c r="D9" s="38" t="s">
        <v>47</v>
      </c>
      <c r="E9" s="39" t="s">
        <v>9</v>
      </c>
      <c r="F9" s="40" t="s">
        <v>3</v>
      </c>
      <c r="G9" s="38" t="s">
        <v>29</v>
      </c>
      <c r="H9" s="38" t="s">
        <v>30</v>
      </c>
      <c r="J9" t="s">
        <v>3</v>
      </c>
    </row>
    <row r="10" ht="28.5" customHeight="1" spans="1:10" x14ac:dyDescent="0.25">
      <c r="A10" s="37" t="s">
        <v>12</v>
      </c>
      <c r="B10" s="38" t="s">
        <v>48</v>
      </c>
      <c r="C10" s="38" t="s">
        <v>49</v>
      </c>
      <c r="D10" s="38" t="s">
        <v>50</v>
      </c>
      <c r="E10" s="39" t="s">
        <v>9</v>
      </c>
      <c r="F10" s="40" t="s">
        <v>3</v>
      </c>
      <c r="G10" s="38" t="s">
        <v>29</v>
      </c>
      <c r="H10" s="38" t="s">
        <v>30</v>
      </c>
      <c r="J10" t="s">
        <v>3</v>
      </c>
    </row>
    <row r="11" ht="28.5" customHeight="1" spans="1:10" x14ac:dyDescent="0.25">
      <c r="A11" s="37" t="s">
        <v>12</v>
      </c>
      <c r="B11" s="38" t="s">
        <v>51</v>
      </c>
      <c r="C11" s="38" t="s">
        <v>27</v>
      </c>
      <c r="D11" s="38" t="s">
        <v>52</v>
      </c>
      <c r="E11" s="39" t="s">
        <v>9</v>
      </c>
      <c r="F11" s="40" t="s">
        <v>3</v>
      </c>
      <c r="G11" s="38" t="s">
        <v>29</v>
      </c>
      <c r="H11" s="38" t="s">
        <v>30</v>
      </c>
      <c r="J11" t="s">
        <v>3</v>
      </c>
    </row>
    <row r="12" ht="28.5" customHeight="1" spans="1:10" x14ac:dyDescent="0.25">
      <c r="A12" s="37" t="s">
        <v>12</v>
      </c>
      <c r="B12" s="38" t="s">
        <v>53</v>
      </c>
      <c r="C12" s="38" t="s">
        <v>38</v>
      </c>
      <c r="D12" s="38" t="s">
        <v>54</v>
      </c>
      <c r="E12" s="39" t="s">
        <v>9</v>
      </c>
      <c r="F12" s="40" t="s">
        <v>3</v>
      </c>
      <c r="G12" s="38" t="s">
        <v>29</v>
      </c>
      <c r="H12" s="38" t="s">
        <v>30</v>
      </c>
      <c r="J12" t="s">
        <v>3</v>
      </c>
    </row>
    <row r="13" ht="28.5" customHeight="1" spans="1:10" x14ac:dyDescent="0.25">
      <c r="A13" s="37" t="s">
        <v>12</v>
      </c>
      <c r="B13" s="38" t="s">
        <v>55</v>
      </c>
      <c r="C13" s="38" t="s">
        <v>56</v>
      </c>
      <c r="D13" s="38" t="s">
        <v>57</v>
      </c>
      <c r="E13" s="39" t="s">
        <v>9</v>
      </c>
      <c r="F13" s="40" t="s">
        <v>3</v>
      </c>
      <c r="G13" s="38" t="s">
        <v>29</v>
      </c>
      <c r="H13" s="38" t="s">
        <v>30</v>
      </c>
      <c r="J13" t="s">
        <v>3</v>
      </c>
    </row>
    <row r="14" ht="28.5" customHeight="1" spans="1:10" x14ac:dyDescent="0.25">
      <c r="A14" s="37" t="s">
        <v>12</v>
      </c>
      <c r="B14" s="38" t="s">
        <v>58</v>
      </c>
      <c r="C14" s="38" t="s">
        <v>59</v>
      </c>
      <c r="D14" s="38" t="s">
        <v>60</v>
      </c>
      <c r="E14" s="39" t="s">
        <v>9</v>
      </c>
      <c r="F14" s="40" t="s">
        <v>3</v>
      </c>
      <c r="G14" s="38" t="s">
        <v>29</v>
      </c>
      <c r="H14" s="38" t="s">
        <v>30</v>
      </c>
      <c r="J14" t="s">
        <v>3</v>
      </c>
    </row>
    <row r="15" ht="28.5" customHeight="1" spans="1:10" x14ac:dyDescent="0.25">
      <c r="A15" s="37" t="s">
        <v>12</v>
      </c>
      <c r="B15" s="38" t="s">
        <v>61</v>
      </c>
      <c r="C15" s="38" t="s">
        <v>59</v>
      </c>
      <c r="D15" s="38" t="s">
        <v>62</v>
      </c>
      <c r="E15" s="39" t="s">
        <v>9</v>
      </c>
      <c r="F15" s="40" t="s">
        <v>3</v>
      </c>
      <c r="G15" s="38" t="s">
        <v>29</v>
      </c>
      <c r="H15" s="38" t="s">
        <v>30</v>
      </c>
      <c r="J15" t="s">
        <v>3</v>
      </c>
    </row>
    <row r="16" ht="28.5" customHeight="1" spans="1:10" x14ac:dyDescent="0.25">
      <c r="A16" s="37" t="s">
        <v>12</v>
      </c>
      <c r="B16" s="38" t="s">
        <v>63</v>
      </c>
      <c r="C16" s="38" t="s">
        <v>64</v>
      </c>
      <c r="D16" s="38" t="s">
        <v>65</v>
      </c>
      <c r="E16" s="41" t="s">
        <v>10</v>
      </c>
      <c r="F16" s="40" t="s">
        <v>3</v>
      </c>
      <c r="G16" s="38" t="s">
        <v>29</v>
      </c>
      <c r="H16" s="38" t="s">
        <v>30</v>
      </c>
      <c r="J16" t="s">
        <v>3</v>
      </c>
    </row>
    <row r="17" ht="28.5" customHeight="1" spans="1:10" x14ac:dyDescent="0.25">
      <c r="A17" s="37" t="s">
        <v>12</v>
      </c>
      <c r="B17" s="38" t="s">
        <v>66</v>
      </c>
      <c r="C17" s="38" t="s">
        <v>64</v>
      </c>
      <c r="D17" s="38" t="s">
        <v>67</v>
      </c>
      <c r="E17" s="41" t="s">
        <v>10</v>
      </c>
      <c r="F17" s="40" t="s">
        <v>3</v>
      </c>
      <c r="G17" s="38" t="s">
        <v>29</v>
      </c>
      <c r="H17" s="38" t="s">
        <v>30</v>
      </c>
      <c r="J17" t="s">
        <v>3</v>
      </c>
    </row>
    <row r="18" ht="28.5" customHeight="1" spans="1:10" x14ac:dyDescent="0.25">
      <c r="A18" s="42" t="s">
        <v>13</v>
      </c>
      <c r="B18" s="43" t="s">
        <v>68</v>
      </c>
      <c r="C18" s="43" t="s">
        <v>27</v>
      </c>
      <c r="D18" s="43" t="s">
        <v>69</v>
      </c>
      <c r="E18" s="39" t="s">
        <v>9</v>
      </c>
      <c r="F18" s="44" t="s">
        <v>3</v>
      </c>
      <c r="G18" s="43" t="s">
        <v>70</v>
      </c>
      <c r="H18" s="43" t="s">
        <v>71</v>
      </c>
      <c r="J18" t="s">
        <v>3</v>
      </c>
    </row>
    <row r="19" ht="28.5" customHeight="1" spans="1:10" x14ac:dyDescent="0.25">
      <c r="A19" s="42" t="s">
        <v>13</v>
      </c>
      <c r="B19" s="43" t="s">
        <v>72</v>
      </c>
      <c r="C19" s="43" t="s">
        <v>73</v>
      </c>
      <c r="D19" s="43" t="s">
        <v>74</v>
      </c>
      <c r="E19" s="39" t="s">
        <v>9</v>
      </c>
      <c r="F19" s="44" t="s">
        <v>3</v>
      </c>
      <c r="G19" s="43" t="s">
        <v>70</v>
      </c>
      <c r="H19" s="43" t="s">
        <v>71</v>
      </c>
      <c r="J19" t="s">
        <v>3</v>
      </c>
    </row>
    <row r="20" ht="28.5" customHeight="1" spans="1:10" x14ac:dyDescent="0.25">
      <c r="A20" s="42" t="s">
        <v>13</v>
      </c>
      <c r="B20" s="43" t="s">
        <v>75</v>
      </c>
      <c r="C20" s="43" t="s">
        <v>76</v>
      </c>
      <c r="D20" s="43" t="s">
        <v>77</v>
      </c>
      <c r="E20" s="39" t="s">
        <v>9</v>
      </c>
      <c r="F20" s="44" t="s">
        <v>3</v>
      </c>
      <c r="G20" s="43" t="s">
        <v>70</v>
      </c>
      <c r="H20" s="43" t="s">
        <v>71</v>
      </c>
      <c r="J20" t="s">
        <v>3</v>
      </c>
    </row>
    <row r="21" ht="28.5" customHeight="1" spans="1:10" x14ac:dyDescent="0.25">
      <c r="A21" s="42" t="s">
        <v>13</v>
      </c>
      <c r="B21" s="43" t="s">
        <v>78</v>
      </c>
      <c r="C21" s="43" t="s">
        <v>32</v>
      </c>
      <c r="D21" s="43" t="s">
        <v>79</v>
      </c>
      <c r="E21" s="39" t="s">
        <v>9</v>
      </c>
      <c r="F21" s="44" t="s">
        <v>3</v>
      </c>
      <c r="G21" s="43" t="s">
        <v>70</v>
      </c>
      <c r="H21" s="43" t="s">
        <v>71</v>
      </c>
      <c r="J21" t="s">
        <v>3</v>
      </c>
    </row>
    <row r="22" ht="28.5" customHeight="1" spans="1:10" x14ac:dyDescent="0.25">
      <c r="A22" s="42" t="s">
        <v>13</v>
      </c>
      <c r="B22" s="43" t="s">
        <v>80</v>
      </c>
      <c r="C22" s="43" t="s">
        <v>38</v>
      </c>
      <c r="D22" s="43" t="s">
        <v>81</v>
      </c>
      <c r="E22" s="39" t="s">
        <v>9</v>
      </c>
      <c r="F22" s="44" t="s">
        <v>3</v>
      </c>
      <c r="G22" s="43" t="s">
        <v>70</v>
      </c>
      <c r="H22" s="43" t="s">
        <v>71</v>
      </c>
      <c r="J22" t="s">
        <v>3</v>
      </c>
    </row>
    <row r="23" ht="28.5" customHeight="1" spans="1:10" x14ac:dyDescent="0.25">
      <c r="A23" s="42" t="s">
        <v>13</v>
      </c>
      <c r="B23" s="43" t="s">
        <v>82</v>
      </c>
      <c r="C23" s="43" t="s">
        <v>83</v>
      </c>
      <c r="D23" s="43" t="s">
        <v>84</v>
      </c>
      <c r="E23" s="39" t="s">
        <v>9</v>
      </c>
      <c r="F23" s="44" t="s">
        <v>3</v>
      </c>
      <c r="G23" s="43" t="s">
        <v>70</v>
      </c>
      <c r="H23" s="43" t="s">
        <v>71</v>
      </c>
      <c r="J23" t="s">
        <v>3</v>
      </c>
    </row>
    <row r="24" ht="28.5" customHeight="1" spans="1:10" x14ac:dyDescent="0.25">
      <c r="A24" s="42" t="s">
        <v>13</v>
      </c>
      <c r="B24" s="43" t="s">
        <v>85</v>
      </c>
      <c r="C24" s="43" t="s">
        <v>86</v>
      </c>
      <c r="D24" s="43" t="s">
        <v>87</v>
      </c>
      <c r="E24" s="39" t="s">
        <v>9</v>
      </c>
      <c r="F24" s="44" t="s">
        <v>3</v>
      </c>
      <c r="G24" s="43" t="s">
        <v>70</v>
      </c>
      <c r="H24" s="43" t="s">
        <v>71</v>
      </c>
      <c r="J24" t="s">
        <v>3</v>
      </c>
    </row>
    <row r="25" ht="28.5" customHeight="1" spans="1:10" x14ac:dyDescent="0.25">
      <c r="A25" s="42" t="s">
        <v>13</v>
      </c>
      <c r="B25" s="43" t="s">
        <v>88</v>
      </c>
      <c r="C25" s="43" t="s">
        <v>49</v>
      </c>
      <c r="D25" s="43" t="s">
        <v>89</v>
      </c>
      <c r="E25" s="39" t="s">
        <v>9</v>
      </c>
      <c r="F25" s="44" t="s">
        <v>3</v>
      </c>
      <c r="G25" s="43" t="s">
        <v>70</v>
      </c>
      <c r="H25" s="43" t="s">
        <v>71</v>
      </c>
      <c r="J25" t="s">
        <v>3</v>
      </c>
    </row>
    <row r="26" ht="28.5" customHeight="1" spans="1:10" x14ac:dyDescent="0.25">
      <c r="A26" s="42" t="s">
        <v>13</v>
      </c>
      <c r="B26" s="43" t="s">
        <v>90</v>
      </c>
      <c r="C26" s="43" t="s">
        <v>59</v>
      </c>
      <c r="D26" s="43" t="s">
        <v>91</v>
      </c>
      <c r="E26" s="39" t="s">
        <v>9</v>
      </c>
      <c r="F26" s="44" t="s">
        <v>3</v>
      </c>
      <c r="G26" s="43" t="s">
        <v>70</v>
      </c>
      <c r="H26" s="43" t="s">
        <v>71</v>
      </c>
      <c r="J26" t="s">
        <v>3</v>
      </c>
    </row>
    <row r="27" ht="28.5" customHeight="1" spans="1:10" x14ac:dyDescent="0.25">
      <c r="A27" s="42" t="s">
        <v>13</v>
      </c>
      <c r="B27" s="43" t="s">
        <v>92</v>
      </c>
      <c r="C27" s="43" t="s">
        <v>93</v>
      </c>
      <c r="D27" s="43" t="s">
        <v>94</v>
      </c>
      <c r="E27" s="39" t="s">
        <v>9</v>
      </c>
      <c r="F27" s="44" t="s">
        <v>3</v>
      </c>
      <c r="G27" s="43" t="s">
        <v>70</v>
      </c>
      <c r="H27" s="43" t="s">
        <v>71</v>
      </c>
      <c r="J27" t="s">
        <v>3</v>
      </c>
    </row>
    <row r="28" ht="28.5" customHeight="1" spans="1:10" x14ac:dyDescent="0.25">
      <c r="A28" s="42" t="s">
        <v>13</v>
      </c>
      <c r="B28" s="43" t="s">
        <v>95</v>
      </c>
      <c r="C28" s="43" t="s">
        <v>93</v>
      </c>
      <c r="D28" s="43" t="s">
        <v>96</v>
      </c>
      <c r="E28" s="39" t="s">
        <v>9</v>
      </c>
      <c r="F28" s="44" t="s">
        <v>3</v>
      </c>
      <c r="G28" s="43" t="s">
        <v>70</v>
      </c>
      <c r="H28" s="43" t="s">
        <v>71</v>
      </c>
      <c r="J28" t="s">
        <v>3</v>
      </c>
    </row>
    <row r="29" ht="28.5" customHeight="1" spans="1:10" x14ac:dyDescent="0.25">
      <c r="A29" s="42" t="s">
        <v>13</v>
      </c>
      <c r="B29" s="43" t="s">
        <v>97</v>
      </c>
      <c r="C29" s="43" t="s">
        <v>93</v>
      </c>
      <c r="D29" s="43" t="s">
        <v>98</v>
      </c>
      <c r="E29" s="39" t="s">
        <v>9</v>
      </c>
      <c r="F29" s="44" t="s">
        <v>3</v>
      </c>
      <c r="G29" s="43" t="s">
        <v>70</v>
      </c>
      <c r="H29" s="43" t="s">
        <v>71</v>
      </c>
      <c r="J29" t="s">
        <v>3</v>
      </c>
    </row>
    <row r="30" ht="28.5" customHeight="1" spans="1:10" x14ac:dyDescent="0.25">
      <c r="A30" s="42" t="s">
        <v>13</v>
      </c>
      <c r="B30" s="43" t="s">
        <v>99</v>
      </c>
      <c r="C30" s="43" t="s">
        <v>93</v>
      </c>
      <c r="D30" s="43" t="s">
        <v>100</v>
      </c>
      <c r="E30" s="39" t="s">
        <v>9</v>
      </c>
      <c r="F30" s="44" t="s">
        <v>3</v>
      </c>
      <c r="G30" s="43" t="s">
        <v>70</v>
      </c>
      <c r="H30" s="43" t="s">
        <v>71</v>
      </c>
      <c r="J30" t="s">
        <v>3</v>
      </c>
    </row>
    <row r="31" ht="28.5" customHeight="1" spans="1:10" x14ac:dyDescent="0.25">
      <c r="A31" s="42" t="s">
        <v>13</v>
      </c>
      <c r="B31" s="43" t="s">
        <v>101</v>
      </c>
      <c r="C31" s="43" t="s">
        <v>46</v>
      </c>
      <c r="D31" s="43" t="s">
        <v>102</v>
      </c>
      <c r="E31" s="39" t="s">
        <v>9</v>
      </c>
      <c r="F31" s="44" t="s">
        <v>3</v>
      </c>
      <c r="G31" s="43" t="s">
        <v>70</v>
      </c>
      <c r="H31" s="43" t="s">
        <v>71</v>
      </c>
      <c r="J31" t="s">
        <v>3</v>
      </c>
    </row>
    <row r="32" ht="28.5" customHeight="1" spans="1:10" x14ac:dyDescent="0.25">
      <c r="A32" s="42" t="s">
        <v>13</v>
      </c>
      <c r="B32" s="43" t="s">
        <v>103</v>
      </c>
      <c r="C32" s="43" t="s">
        <v>64</v>
      </c>
      <c r="D32" s="43" t="s">
        <v>104</v>
      </c>
      <c r="E32" s="41" t="s">
        <v>10</v>
      </c>
      <c r="F32" s="44" t="s">
        <v>3</v>
      </c>
      <c r="G32" s="43" t="s">
        <v>70</v>
      </c>
      <c r="H32" s="43" t="s">
        <v>71</v>
      </c>
      <c r="J32" t="s">
        <v>3</v>
      </c>
    </row>
    <row r="33" ht="28.5" customHeight="1" spans="1:10" x14ac:dyDescent="0.25">
      <c r="A33" s="42" t="s">
        <v>13</v>
      </c>
      <c r="B33" s="43" t="s">
        <v>105</v>
      </c>
      <c r="C33" s="43" t="s">
        <v>27</v>
      </c>
      <c r="D33" s="43" t="s">
        <v>106</v>
      </c>
      <c r="E33" s="39" t="s">
        <v>9</v>
      </c>
      <c r="F33" s="44" t="s">
        <v>3</v>
      </c>
      <c r="G33" s="43" t="s">
        <v>70</v>
      </c>
      <c r="H33" s="43" t="s">
        <v>71</v>
      </c>
      <c r="J33" t="s">
        <v>3</v>
      </c>
    </row>
    <row r="34" ht="28.5" customHeight="1" spans="1:10" x14ac:dyDescent="0.25">
      <c r="A34" s="42" t="s">
        <v>13</v>
      </c>
      <c r="B34" s="43" t="s">
        <v>107</v>
      </c>
      <c r="C34" s="43" t="s">
        <v>46</v>
      </c>
      <c r="D34" s="43" t="s">
        <v>108</v>
      </c>
      <c r="E34" s="39" t="s">
        <v>9</v>
      </c>
      <c r="F34" s="44" t="s">
        <v>3</v>
      </c>
      <c r="G34" s="43" t="s">
        <v>70</v>
      </c>
      <c r="H34" s="43" t="s">
        <v>71</v>
      </c>
      <c r="J34" t="s">
        <v>3</v>
      </c>
    </row>
    <row r="35" ht="28.5" customHeight="1" spans="1:10" x14ac:dyDescent="0.25">
      <c r="A35" s="42" t="s">
        <v>13</v>
      </c>
      <c r="B35" s="43" t="s">
        <v>109</v>
      </c>
      <c r="C35" s="43" t="s">
        <v>46</v>
      </c>
      <c r="D35" s="43" t="s">
        <v>110</v>
      </c>
      <c r="E35" s="39" t="s">
        <v>9</v>
      </c>
      <c r="F35" s="44" t="s">
        <v>3</v>
      </c>
      <c r="G35" s="43" t="s">
        <v>70</v>
      </c>
      <c r="H35" s="43" t="s">
        <v>71</v>
      </c>
      <c r="J35" t="s">
        <v>3</v>
      </c>
    </row>
    <row r="36" ht="28.5" customHeight="1" spans="1:10" x14ac:dyDescent="0.25">
      <c r="A36" s="42" t="s">
        <v>13</v>
      </c>
      <c r="B36" s="43" t="s">
        <v>111</v>
      </c>
      <c r="C36" s="43" t="s">
        <v>112</v>
      </c>
      <c r="D36" s="43" t="s">
        <v>113</v>
      </c>
      <c r="E36" s="41" t="s">
        <v>10</v>
      </c>
      <c r="F36" s="44" t="s">
        <v>3</v>
      </c>
      <c r="G36" s="43" t="s">
        <v>70</v>
      </c>
      <c r="H36" s="43" t="s">
        <v>71</v>
      </c>
      <c r="J36" t="s">
        <v>3</v>
      </c>
    </row>
    <row r="37" ht="28.5" customHeight="1" spans="1:10" x14ac:dyDescent="0.25">
      <c r="A37" s="42" t="s">
        <v>13</v>
      </c>
      <c r="B37" s="43" t="s">
        <v>114</v>
      </c>
      <c r="C37" s="43" t="s">
        <v>115</v>
      </c>
      <c r="D37" s="43" t="s">
        <v>116</v>
      </c>
      <c r="E37" s="41" t="s">
        <v>10</v>
      </c>
      <c r="F37" s="44" t="s">
        <v>3</v>
      </c>
      <c r="G37" s="43" t="s">
        <v>70</v>
      </c>
      <c r="H37" s="43" t="s">
        <v>71</v>
      </c>
      <c r="J37" t="s">
        <v>3</v>
      </c>
    </row>
    <row r="38" ht="28.5" customHeight="1" spans="1:10" x14ac:dyDescent="0.25">
      <c r="A38" s="42" t="s">
        <v>13</v>
      </c>
      <c r="B38" s="43" t="s">
        <v>117</v>
      </c>
      <c r="C38" s="43" t="s">
        <v>118</v>
      </c>
      <c r="D38" s="43" t="s">
        <v>119</v>
      </c>
      <c r="E38" s="39" t="s">
        <v>9</v>
      </c>
      <c r="F38" s="44" t="s">
        <v>3</v>
      </c>
      <c r="G38" s="43" t="s">
        <v>70</v>
      </c>
      <c r="H38" s="43" t="s">
        <v>71</v>
      </c>
      <c r="J38" t="s">
        <v>3</v>
      </c>
    </row>
    <row r="39" ht="28.5" customHeight="1" spans="1:10" x14ac:dyDescent="0.25">
      <c r="A39" s="42" t="s">
        <v>13</v>
      </c>
      <c r="B39" s="43" t="s">
        <v>120</v>
      </c>
      <c r="C39" s="43" t="s">
        <v>121</v>
      </c>
      <c r="D39" s="43" t="s">
        <v>122</v>
      </c>
      <c r="E39" s="39" t="s">
        <v>9</v>
      </c>
      <c r="F39" s="44" t="s">
        <v>3</v>
      </c>
      <c r="G39" s="43" t="s">
        <v>70</v>
      </c>
      <c r="H39" s="43" t="s">
        <v>71</v>
      </c>
      <c r="J39" t="s">
        <v>3</v>
      </c>
    </row>
    <row r="40" ht="28.5" customHeight="1" spans="1:10" x14ac:dyDescent="0.25">
      <c r="A40" s="42" t="s">
        <v>13</v>
      </c>
      <c r="B40" s="43" t="s">
        <v>123</v>
      </c>
      <c r="C40" s="43" t="s">
        <v>124</v>
      </c>
      <c r="D40" s="43" t="s">
        <v>125</v>
      </c>
      <c r="E40" s="39" t="s">
        <v>9</v>
      </c>
      <c r="F40" s="44" t="s">
        <v>3</v>
      </c>
      <c r="G40" s="43" t="s">
        <v>70</v>
      </c>
      <c r="H40" s="43" t="s">
        <v>71</v>
      </c>
      <c r="J40" t="s">
        <v>3</v>
      </c>
    </row>
    <row r="41" ht="28.5" customHeight="1" spans="1:10" x14ac:dyDescent="0.25">
      <c r="A41" s="45" t="s">
        <v>15</v>
      </c>
      <c r="B41" s="46" t="s">
        <v>126</v>
      </c>
      <c r="C41" s="46" t="s">
        <v>64</v>
      </c>
      <c r="D41" s="46" t="s">
        <v>127</v>
      </c>
      <c r="E41" s="41" t="s">
        <v>128</v>
      </c>
      <c r="F41" s="40" t="s">
        <v>5</v>
      </c>
      <c r="G41" s="46" t="s">
        <v>129</v>
      </c>
      <c r="H41" s="46" t="s">
        <v>71</v>
      </c>
      <c r="J41" t="s">
        <v>3</v>
      </c>
    </row>
    <row r="42" ht="28.5" customHeight="1" spans="1:10" x14ac:dyDescent="0.25">
      <c r="A42" s="45" t="s">
        <v>15</v>
      </c>
      <c r="B42" s="46" t="s">
        <v>130</v>
      </c>
      <c r="C42" s="46" t="s">
        <v>118</v>
      </c>
      <c r="D42" s="46" t="s">
        <v>131</v>
      </c>
      <c r="E42" s="39" t="s">
        <v>132</v>
      </c>
      <c r="F42" s="40" t="s">
        <v>5</v>
      </c>
      <c r="G42" s="46" t="s">
        <v>129</v>
      </c>
      <c r="H42" s="46" t="s">
        <v>71</v>
      </c>
      <c r="J42" t="s">
        <v>3</v>
      </c>
    </row>
    <row r="43" ht="28.5" customHeight="1" spans="1:10" x14ac:dyDescent="0.25">
      <c r="A43" s="47" t="s">
        <v>16</v>
      </c>
      <c r="B43" s="48" t="s">
        <v>133</v>
      </c>
      <c r="C43" s="48" t="s">
        <v>64</v>
      </c>
      <c r="D43" s="48" t="s">
        <v>134</v>
      </c>
      <c r="E43" s="41" t="s">
        <v>10</v>
      </c>
      <c r="F43" s="40" t="s">
        <v>5</v>
      </c>
      <c r="G43" s="48" t="s">
        <v>135</v>
      </c>
      <c r="H43" s="48" t="s">
        <v>71</v>
      </c>
      <c r="J43" t="s">
        <v>3</v>
      </c>
    </row>
    <row r="44" ht="28.5" customHeight="1" spans="1:10" x14ac:dyDescent="0.25">
      <c r="A44" s="49" t="s">
        <v>17</v>
      </c>
      <c r="B44" s="50" t="s">
        <v>136</v>
      </c>
      <c r="C44" s="50" t="s">
        <v>64</v>
      </c>
      <c r="D44" s="50" t="s">
        <v>137</v>
      </c>
      <c r="E44" s="41" t="s">
        <v>10</v>
      </c>
      <c r="F44" s="40" t="s">
        <v>5</v>
      </c>
      <c r="G44" s="50" t="s">
        <v>138</v>
      </c>
      <c r="H44" s="50" t="s">
        <v>71</v>
      </c>
      <c r="J44" t="s">
        <v>3</v>
      </c>
    </row>
    <row r="45" ht="28.5" customHeight="1" spans="1:10" x14ac:dyDescent="0.25">
      <c r="A45" s="49" t="s">
        <v>17</v>
      </c>
      <c r="B45" s="50" t="s">
        <v>139</v>
      </c>
      <c r="C45" s="50" t="s">
        <v>59</v>
      </c>
      <c r="D45" s="50" t="s">
        <v>140</v>
      </c>
      <c r="E45" s="39" t="s">
        <v>9</v>
      </c>
      <c r="F45" s="40" t="s">
        <v>5</v>
      </c>
      <c r="G45" s="50" t="s">
        <v>138</v>
      </c>
      <c r="H45" s="50" t="s">
        <v>71</v>
      </c>
      <c r="J45" t="s">
        <v>3</v>
      </c>
    </row>
    <row r="46" ht="28.5" customHeight="1" spans="1:10" x14ac:dyDescent="0.25">
      <c r="A46" s="49" t="s">
        <v>17</v>
      </c>
      <c r="B46" s="50" t="s">
        <v>141</v>
      </c>
      <c r="C46" s="50" t="s">
        <v>38</v>
      </c>
      <c r="D46" s="50" t="s">
        <v>142</v>
      </c>
      <c r="E46" s="39" t="s">
        <v>9</v>
      </c>
      <c r="F46" s="40" t="s">
        <v>5</v>
      </c>
      <c r="G46" s="50" t="s">
        <v>138</v>
      </c>
      <c r="H46" s="50" t="s">
        <v>71</v>
      </c>
      <c r="J46" t="s">
        <v>3</v>
      </c>
    </row>
    <row r="47" ht="28.5" customHeight="1" spans="1:8" x14ac:dyDescent="0.25">
      <c r="A47" s="1"/>
      <c r="B47" s="1"/>
      <c r="C47" s="1"/>
      <c r="D47" s="1"/>
      <c r="E47" s="1"/>
      <c r="F47" s="1"/>
      <c r="G47" s="1"/>
      <c r="H47" s="1"/>
    </row>
    <row r="48" ht="28.5" customHeight="1" spans="1:8" x14ac:dyDescent="0.25">
      <c r="A48" s="51" t="str">
        <f>"Total: "&amp;COUNTA($A$3:$A$46)&amp;" Test Cases | Automated: "&amp;COUNTIF($F$3:$F$46,"Automated")&amp;" | Needs Review: "&amp;COUNTIF($F$3:$F$46,"Needs Review")&amp;" | Coverage: "&amp;TEXT(COUNTIF($F$3:$F$46,"Automated")/COUNTA($A$3:$A$46),"0%")&amp;" | High Priority: "&amp;COUNTIF($E$3:$E$46,"High")&amp;" | Medium: "&amp;COUNTIF($E$3:$E$46,"Medium")</f>
        <v>Total: 44 Test Cases | Automated: 38 | Needs Review: 6 | Coverage: 86% | High Priority: 36 | Medium: 8</v>
      </c>
      <c r="B48"/>
      <c r="C48"/>
      <c r="D48"/>
      <c r="E48"/>
      <c r="F48"/>
      <c r="G48"/>
      <c r="H48"/>
    </row>
    <row r="49" ht="28.5" customHeight="1" spans="1:8" x14ac:dyDescent="0.25">
      <c r="A49" s="1"/>
      <c r="B49" s="1"/>
      <c r="C49" s="1"/>
      <c r="D49" s="1"/>
      <c r="E49" s="1"/>
      <c r="F49" s="1"/>
      <c r="G49" s="1"/>
      <c r="H49" s="1"/>
    </row>
    <row r="50" ht="28.5" customHeight="1" spans="1:8" x14ac:dyDescent="0.25">
      <c r="A50" s="1"/>
      <c r="B50" s="1"/>
      <c r="C50" s="1"/>
      <c r="D50" s="1"/>
      <c r="E50" s="1"/>
      <c r="F50" s="1"/>
      <c r="G50" s="1"/>
      <c r="H50" s="1"/>
    </row>
    <row r="51" ht="28.5" customHeight="1" spans="1:8" x14ac:dyDescent="0.25">
      <c r="A51" s="1"/>
      <c r="B51" s="1"/>
      <c r="C51" s="1"/>
      <c r="D51" s="1"/>
      <c r="E51" s="1"/>
      <c r="F51" s="1"/>
      <c r="G51" s="1"/>
      <c r="H51" s="1"/>
    </row>
    <row r="52" ht="28.5" customHeight="1" spans="1:8" x14ac:dyDescent="0.25">
      <c r="A52" s="1"/>
      <c r="B52" s="1"/>
      <c r="C52" s="1"/>
      <c r="D52" s="1"/>
      <c r="E52" s="1"/>
      <c r="F52" s="1"/>
      <c r="G52" s="1"/>
      <c r="H52" s="1"/>
    </row>
    <row r="53" ht="28.5" customHeight="1" spans="1:8" x14ac:dyDescent="0.25">
      <c r="A53" s="1"/>
      <c r="B53" s="1"/>
      <c r="C53" s="1"/>
      <c r="D53" s="1"/>
      <c r="E53" s="1"/>
      <c r="F53" s="1"/>
      <c r="G53" s="1"/>
      <c r="H53" s="1"/>
    </row>
    <row r="54" ht="28.5" customHeight="1" spans="1:8" x14ac:dyDescent="0.25">
      <c r="A54" s="1"/>
      <c r="B54" s="1"/>
      <c r="C54" s="1"/>
      <c r="D54" s="1"/>
      <c r="E54" s="1"/>
      <c r="F54" s="1"/>
      <c r="G54" s="1"/>
      <c r="H54" s="1"/>
    </row>
    <row r="55" ht="28.5" customHeight="1" spans="1:8" x14ac:dyDescent="0.25">
      <c r="A55" s="1"/>
      <c r="B55" s="1"/>
      <c r="C55" s="1"/>
      <c r="D55" s="1"/>
      <c r="E55" s="1"/>
      <c r="F55" s="1"/>
      <c r="G55" s="1"/>
      <c r="H55" s="1"/>
    </row>
    <row r="56" ht="28.5" customHeight="1" spans="1:8" x14ac:dyDescent="0.25">
      <c r="A56" s="1"/>
      <c r="B56" s="1"/>
      <c r="C56" s="1"/>
      <c r="D56" s="1"/>
      <c r="E56" s="1"/>
      <c r="F56" s="1"/>
      <c r="G56" s="1"/>
      <c r="H56" s="1"/>
    </row>
    <row r="57" ht="28.5" customHeight="1" spans="1:8" x14ac:dyDescent="0.25">
      <c r="A57" s="1"/>
      <c r="B57" s="1"/>
      <c r="C57" s="1"/>
      <c r="D57" s="1"/>
      <c r="E57" s="1"/>
      <c r="F57" s="1"/>
      <c r="G57" s="1"/>
      <c r="H57" s="1"/>
    </row>
    <row r="58" ht="28.5" customHeight="1" spans="1:8" x14ac:dyDescent="0.25">
      <c r="A58" s="1"/>
      <c r="B58" s="1"/>
      <c r="C58" s="1"/>
      <c r="D58" s="1"/>
      <c r="E58" s="1"/>
      <c r="F58" s="1"/>
      <c r="G58" s="1"/>
      <c r="H58" s="1"/>
    </row>
    <row r="59" ht="28.5" customHeight="1" spans="1:8" x14ac:dyDescent="0.25">
      <c r="A59" s="1"/>
      <c r="B59" s="1"/>
      <c r="C59" s="1"/>
      <c r="D59" s="1"/>
      <c r="E59" s="1"/>
      <c r="F59" s="1"/>
      <c r="G59" s="1"/>
      <c r="H59" s="1"/>
    </row>
    <row r="60" ht="28.5" customHeight="1" spans="1:8" x14ac:dyDescent="0.25">
      <c r="A60" s="1"/>
      <c r="B60" s="1"/>
      <c r="C60" s="1"/>
      <c r="D60" s="1"/>
      <c r="E60" s="1"/>
      <c r="F60" s="1"/>
      <c r="G60" s="1"/>
      <c r="H60" s="1"/>
    </row>
    <row r="61" ht="28.5" customHeight="1" spans="2:2" x14ac:dyDescent="0.25"/>
    <row r="62" ht="28.5" customHeight="1" spans="2:2" x14ac:dyDescent="0.25"/>
    <row r="63" ht="28.5" customHeight="1" spans="2:2" x14ac:dyDescent="0.25"/>
    <row r="64" ht="28.5" customHeight="1" spans="2:2" x14ac:dyDescent="0.25"/>
    <row r="65" ht="28.5" customHeight="1" spans="2:2" x14ac:dyDescent="0.25"/>
    <row r="66" ht="28.5" customHeight="1" spans="2:2" x14ac:dyDescent="0.25"/>
    <row r="67" ht="28.5" customHeight="1" spans="2:2" x14ac:dyDescent="0.25"/>
    <row r="68" ht="28.5" customHeight="1" spans="2:2" x14ac:dyDescent="0.25"/>
    <row r="69" ht="28.5" customHeight="1" spans="2:2" x14ac:dyDescent="0.25"/>
    <row r="70" ht="28.5" customHeight="1" spans="2:2" x14ac:dyDescent="0.25"/>
    <row r="71" ht="28.5" customHeight="1" spans="2:2" x14ac:dyDescent="0.25"/>
    <row r="72" ht="28.5" customHeight="1" spans="2:2" x14ac:dyDescent="0.25"/>
    <row r="73" ht="28.5" customHeight="1" spans="2:2" x14ac:dyDescent="0.25"/>
    <row r="74" ht="28.5" customHeight="1" spans="2:2" x14ac:dyDescent="0.25"/>
    <row r="75" ht="28.5" customHeight="1" spans="2:2" x14ac:dyDescent="0.25"/>
    <row r="76" ht="28.5" customHeight="1" spans="2:2" x14ac:dyDescent="0.25"/>
    <row r="77" ht="28.5" customHeight="1" spans="2:2" x14ac:dyDescent="0.25"/>
    <row r="78" ht="28.5" customHeight="1" spans="2:2" x14ac:dyDescent="0.25"/>
    <row r="79" ht="28.5" customHeight="1" spans="2:2" x14ac:dyDescent="0.25"/>
    <row r="80" ht="28.5" customHeight="1" spans="2:2" x14ac:dyDescent="0.25"/>
    <row r="81" ht="28.5" customHeight="1" spans="2:2" x14ac:dyDescent="0.25"/>
    <row r="82" ht="28.5" customHeight="1" spans="2:2" x14ac:dyDescent="0.25"/>
    <row r="83" ht="28.5" customHeight="1" spans="2:2" x14ac:dyDescent="0.25"/>
    <row r="84" ht="28.5" customHeight="1" spans="2:2" x14ac:dyDescent="0.25"/>
    <row r="85" ht="28.5" customHeight="1" spans="2:2" x14ac:dyDescent="0.25"/>
    <row r="86" ht="28.5" customHeight="1" spans="2:2" x14ac:dyDescent="0.25"/>
    <row r="87" ht="28.5" customHeight="1" spans="2:2" x14ac:dyDescent="0.25"/>
    <row r="88" ht="28.5" customHeight="1" spans="2:2" x14ac:dyDescent="0.25"/>
    <row r="89" ht="28.5" customHeight="1" spans="2:2" x14ac:dyDescent="0.25"/>
    <row r="90" ht="28.5" customHeight="1" spans="2:2" x14ac:dyDescent="0.25"/>
    <row r="91" ht="28.5" customHeight="1" spans="2:2" x14ac:dyDescent="0.25"/>
    <row r="92" ht="28.5" customHeight="1" spans="2:2" x14ac:dyDescent="0.25"/>
    <row r="93" ht="28.5" customHeight="1" spans="2:2" x14ac:dyDescent="0.25"/>
    <row r="94" ht="28.5" customHeight="1" spans="2:2" x14ac:dyDescent="0.25"/>
    <row r="95" ht="28.5" customHeight="1" spans="2:2" x14ac:dyDescent="0.25"/>
    <row r="96" ht="28.5" customHeight="1" spans="2:2" x14ac:dyDescent="0.25"/>
    <row r="97" ht="28.5" customHeight="1" spans="2:2" x14ac:dyDescent="0.25"/>
    <row r="98" ht="28.5" customHeight="1" spans="2:2" x14ac:dyDescent="0.25"/>
    <row r="99" ht="28.5" customHeight="1" spans="2:2" x14ac:dyDescent="0.25"/>
    <row r="100" ht="28.5" customHeight="1" spans="2:2" x14ac:dyDescent="0.25"/>
    <row r="101" ht="28.5" customHeight="1" spans="2:2" x14ac:dyDescent="0.25"/>
    <row r="102" ht="28.5" customHeight="1" spans="2:2" x14ac:dyDescent="0.25"/>
    <row r="103" ht="28.5" customHeight="1" spans="2:2" x14ac:dyDescent="0.25"/>
    <row r="104" ht="28.5" customHeight="1" spans="2:2" x14ac:dyDescent="0.25"/>
    <row r="105" ht="28.5" customHeight="1" spans="2:2" x14ac:dyDescent="0.25"/>
    <row r="106" ht="28.5" customHeight="1" spans="2:2" x14ac:dyDescent="0.25"/>
    <row r="107" ht="28.5" customHeight="1" spans="2:2" x14ac:dyDescent="0.25"/>
    <row r="108" ht="28.5" customHeight="1" spans="2:2" x14ac:dyDescent="0.25"/>
    <row r="109" ht="28.5" customHeight="1" spans="2:2" x14ac:dyDescent="0.25"/>
    <row r="110" ht="28.5" customHeight="1" spans="2:2" x14ac:dyDescent="0.25"/>
    <row r="111" ht="28.5" customHeight="1" spans="2:2" x14ac:dyDescent="0.25"/>
    <row r="112" ht="28.5" customHeight="1" spans="2:2" x14ac:dyDescent="0.25"/>
    <row r="113" ht="28.5" customHeight="1" spans="2:2" x14ac:dyDescent="0.25"/>
    <row r="114" ht="28.5" customHeight="1" spans="2:2" x14ac:dyDescent="0.25"/>
    <row r="115" ht="28.5" customHeight="1" spans="2:2" x14ac:dyDescent="0.25"/>
    <row r="116" ht="28.5" customHeight="1" spans="2:2" x14ac:dyDescent="0.25"/>
    <row r="117" ht="28.5" customHeight="1" spans="2:2" x14ac:dyDescent="0.25"/>
    <row r="118" ht="28.5" customHeight="1" spans="2:2" x14ac:dyDescent="0.25"/>
    <row r="119" ht="28.5" customHeight="1" spans="2:2" x14ac:dyDescent="0.25"/>
    <row r="120" ht="28.5" customHeight="1" spans="2:2" x14ac:dyDescent="0.25"/>
    <row r="121" ht="28.5" customHeight="1" spans="2:2" x14ac:dyDescent="0.25"/>
    <row r="122" ht="28.5" customHeight="1" spans="2:2" x14ac:dyDescent="0.25"/>
    <row r="123" ht="28.5" customHeight="1" spans="2:2" x14ac:dyDescent="0.25"/>
    <row r="124" ht="28.5" customHeight="1" spans="2:2" x14ac:dyDescent="0.25"/>
    <row r="125" ht="28.5" customHeight="1" spans="2:2" x14ac:dyDescent="0.25"/>
    <row r="126" ht="28.5" customHeight="1" spans="2:2" x14ac:dyDescent="0.25"/>
    <row r="127" ht="28.5" customHeight="1" spans="2:2" x14ac:dyDescent="0.25"/>
    <row r="128" ht="28.5" customHeight="1" spans="2:2" x14ac:dyDescent="0.25"/>
    <row r="129" ht="28.5" customHeight="1" spans="2:2" x14ac:dyDescent="0.25"/>
    <row r="130" ht="28.5" customHeight="1" spans="2:2" x14ac:dyDescent="0.25"/>
    <row r="131" ht="28.5" customHeight="1" spans="2:2" x14ac:dyDescent="0.25"/>
    <row r="132" ht="28.5" customHeight="1" spans="2:2" x14ac:dyDescent="0.25"/>
    <row r="133" ht="28.5" customHeight="1" spans="2:2" x14ac:dyDescent="0.25"/>
    <row r="134" ht="28.5" customHeight="1" spans="2:2" x14ac:dyDescent="0.25"/>
    <row r="135" ht="28.5" customHeight="1" spans="2:2" x14ac:dyDescent="0.25"/>
    <row r="136" ht="28.5" customHeight="1" spans="2:2" x14ac:dyDescent="0.25"/>
    <row r="137" ht="28.5" customHeight="1" spans="2:2" x14ac:dyDescent="0.25"/>
    <row r="138" ht="28.5" customHeight="1" spans="2:2" x14ac:dyDescent="0.25"/>
    <row r="139" ht="28.5" customHeight="1" spans="2:2" x14ac:dyDescent="0.25"/>
    <row r="140" ht="28.5" customHeight="1" spans="2:2" x14ac:dyDescent="0.25"/>
    <row r="141" ht="28.5" customHeight="1" spans="2:2" x14ac:dyDescent="0.25"/>
    <row r="142" ht="28.5" customHeight="1" spans="2:2" x14ac:dyDescent="0.25"/>
    <row r="143" ht="28.5" customHeight="1" spans="2:2" x14ac:dyDescent="0.25"/>
    <row r="144" ht="28.5" customHeight="1" spans="2:2" x14ac:dyDescent="0.25"/>
    <row r="145" ht="28.5" customHeight="1" spans="2:2" x14ac:dyDescent="0.25"/>
    <row r="146" ht="28.5" customHeight="1" spans="2:2" x14ac:dyDescent="0.25"/>
    <row r="147" ht="28.5" customHeight="1" spans="2:2" x14ac:dyDescent="0.25"/>
    <row r="148" ht="28.5" customHeight="1" spans="2:2" x14ac:dyDescent="0.25"/>
    <row r="149" ht="28.5" customHeight="1" spans="2:2" x14ac:dyDescent="0.25"/>
    <row r="150" ht="28.5" customHeight="1" spans="2:2" x14ac:dyDescent="0.25"/>
    <row r="151" ht="28.5" customHeight="1" spans="2:2" x14ac:dyDescent="0.25"/>
    <row r="152" ht="28.5" customHeight="1" spans="2:2" x14ac:dyDescent="0.25"/>
    <row r="153" ht="28.5" customHeight="1" spans="2:2" x14ac:dyDescent="0.25"/>
    <row r="154" ht="28.5" customHeight="1" spans="2:2" x14ac:dyDescent="0.25"/>
    <row r="155" ht="28.5" customHeight="1" spans="2:2" x14ac:dyDescent="0.25"/>
    <row r="156" ht="28.5" customHeight="1" spans="2:2" x14ac:dyDescent="0.25"/>
    <row r="157" ht="28.5" customHeight="1" spans="2:2" x14ac:dyDescent="0.25"/>
    <row r="158" ht="28.5" customHeight="1" spans="2:2" x14ac:dyDescent="0.25"/>
    <row r="159" ht="28.5" customHeight="1" spans="2:2" x14ac:dyDescent="0.25"/>
    <row r="160" ht="28.5" customHeight="1" spans="2:2" x14ac:dyDescent="0.25"/>
    <row r="161" ht="28.5" customHeight="1" spans="2:2" x14ac:dyDescent="0.25"/>
    <row r="162" ht="28.5" customHeight="1" spans="2:2" x14ac:dyDescent="0.25"/>
    <row r="163" ht="28.5" customHeight="1" spans="2:2" x14ac:dyDescent="0.25"/>
    <row r="164" ht="28.5" customHeight="1" spans="2:2" x14ac:dyDescent="0.25"/>
    <row r="165" ht="28.5" customHeight="1" spans="2:2" x14ac:dyDescent="0.25"/>
    <row r="166" ht="28.5" customHeight="1" spans="2:2" x14ac:dyDescent="0.25"/>
    <row r="167" ht="28.5" customHeight="1" spans="2:2" x14ac:dyDescent="0.25"/>
    <row r="168" ht="28.5" customHeight="1" spans="2:2" x14ac:dyDescent="0.25"/>
    <row r="169" ht="28.5" customHeight="1" spans="2:2" x14ac:dyDescent="0.25"/>
    <row r="170" ht="28.5" customHeight="1" spans="2:2" x14ac:dyDescent="0.25"/>
    <row r="171" ht="28.5" customHeight="1" spans="2:2" x14ac:dyDescent="0.25"/>
    <row r="172" ht="28.5" customHeight="1" spans="2:2" x14ac:dyDescent="0.25"/>
    <row r="173" ht="28.5" customHeight="1" spans="2:2" x14ac:dyDescent="0.25"/>
    <row r="174" ht="28.5" customHeight="1" spans="2:2" x14ac:dyDescent="0.25"/>
    <row r="175" ht="28.5" customHeight="1" spans="2:2" x14ac:dyDescent="0.25"/>
    <row r="176" ht="28.5" customHeight="1" spans="2:2" x14ac:dyDescent="0.25"/>
    <row r="177" ht="28.5" customHeight="1" spans="2:2" x14ac:dyDescent="0.25"/>
    <row r="178" ht="28.5" customHeight="1" spans="2:2" x14ac:dyDescent="0.25"/>
    <row r="179" ht="28.5" customHeight="1" spans="2:2" x14ac:dyDescent="0.25"/>
    <row r="180" ht="28.5" customHeight="1" spans="2:2" x14ac:dyDescent="0.25"/>
    <row r="181" ht="28.5" customHeight="1" spans="2:2" x14ac:dyDescent="0.25"/>
    <row r="182" ht="28.5" customHeight="1" spans="2:2" x14ac:dyDescent="0.25"/>
    <row r="183" ht="28.5" customHeight="1" spans="2:2" x14ac:dyDescent="0.25"/>
    <row r="184" ht="28.5" customHeight="1" spans="2:2" x14ac:dyDescent="0.25"/>
    <row r="185" ht="28.5" customHeight="1" spans="2:2" x14ac:dyDescent="0.25"/>
    <row r="186" ht="28.5" customHeight="1" spans="2:2" x14ac:dyDescent="0.25"/>
    <row r="187" ht="28.5" customHeight="1" spans="2:2" x14ac:dyDescent="0.25"/>
    <row r="188" ht="28.5" customHeight="1" spans="2:2" x14ac:dyDescent="0.25"/>
    <row r="189" ht="28.5" customHeight="1" spans="2:2" x14ac:dyDescent="0.25"/>
    <row r="190" ht="28.5" customHeight="1" spans="2:2" x14ac:dyDescent="0.25"/>
    <row r="191" ht="28.5" customHeight="1" spans="2:2" x14ac:dyDescent="0.25"/>
    <row r="192" ht="28.5" customHeight="1" spans="2:2" x14ac:dyDescent="0.25"/>
    <row r="193" ht="28.5" customHeight="1" spans="2:2" x14ac:dyDescent="0.25"/>
    <row r="194" ht="28.5" customHeight="1" spans="2:2" x14ac:dyDescent="0.25"/>
    <row r="195" ht="28.5" customHeight="1" spans="2:2" x14ac:dyDescent="0.25"/>
    <row r="196" ht="28.5" customHeight="1" spans="2:2" x14ac:dyDescent="0.25"/>
    <row r="197" ht="28.5" customHeight="1" spans="2:2" x14ac:dyDescent="0.25"/>
    <row r="198" ht="28.5" customHeight="1" spans="2:2" x14ac:dyDescent="0.25"/>
    <row r="199" ht="28.5" customHeight="1" spans="2:2" x14ac:dyDescent="0.25"/>
    <row r="200" ht="28.5" customHeight="1" spans="2:2" x14ac:dyDescent="0.25"/>
    <row r="201" ht="28.5" customHeight="1" spans="2:2" x14ac:dyDescent="0.25"/>
    <row r="202" ht="28.5" customHeight="1" spans="2:2" x14ac:dyDescent="0.25"/>
    <row r="203" ht="28.5" customHeight="1" spans="2:2" x14ac:dyDescent="0.25"/>
    <row r="204" ht="28.5" customHeight="1" spans="2:2" x14ac:dyDescent="0.25"/>
    <row r="205" ht="28.5" customHeight="1" spans="2:2" x14ac:dyDescent="0.25"/>
    <row r="206" ht="28.5" customHeight="1" spans="2:2" x14ac:dyDescent="0.25"/>
    <row r="207" ht="28.5" customHeight="1" spans="2:2" x14ac:dyDescent="0.25"/>
    <row r="208" ht="28.5" customHeight="1" spans="2:2" x14ac:dyDescent="0.25"/>
    <row r="209" ht="28.5" customHeight="1" spans="2:2" x14ac:dyDescent="0.25"/>
    <row r="210" ht="28.5" customHeight="1" spans="2:2" x14ac:dyDescent="0.25"/>
    <row r="211" ht="28.5" customHeight="1" spans="2:2" x14ac:dyDescent="0.25"/>
    <row r="212" ht="28.5" customHeight="1" spans="2:2" x14ac:dyDescent="0.25"/>
    <row r="213" ht="28.5" customHeight="1" spans="2:2" x14ac:dyDescent="0.25"/>
    <row r="214" ht="28.5" customHeight="1" spans="2:2" x14ac:dyDescent="0.25"/>
    <row r="215" ht="28.5" customHeight="1" spans="2:2" x14ac:dyDescent="0.25"/>
    <row r="216" ht="28.5" customHeight="1" spans="2:2" x14ac:dyDescent="0.25"/>
    <row r="217" ht="28.5" customHeight="1" spans="2:2" x14ac:dyDescent="0.25"/>
    <row r="218" ht="28.5" customHeight="1" spans="2:2" x14ac:dyDescent="0.25"/>
    <row r="219" ht="28.5" customHeight="1" spans="2:2" x14ac:dyDescent="0.25"/>
    <row r="220" ht="28.5" customHeight="1" spans="2:2" x14ac:dyDescent="0.25"/>
    <row r="221" ht="28.5" customHeight="1" spans="2:2" x14ac:dyDescent="0.25"/>
    <row r="222" ht="28.5" customHeight="1" spans="2:2" x14ac:dyDescent="0.25"/>
    <row r="223" ht="28.5" customHeight="1" spans="2:2" x14ac:dyDescent="0.25"/>
    <row r="224" ht="28.5" customHeight="1" spans="2:2" x14ac:dyDescent="0.25"/>
    <row r="225" ht="28.5" customHeight="1" spans="2:2" x14ac:dyDescent="0.25"/>
    <row r="226" ht="28.5" customHeight="1" spans="2:2" x14ac:dyDescent="0.25"/>
    <row r="227" ht="28.5" customHeight="1" spans="2:2" x14ac:dyDescent="0.25"/>
    <row r="228" ht="28.5" customHeight="1" spans="2:2" x14ac:dyDescent="0.25"/>
    <row r="229" ht="28.5" customHeight="1" spans="2:2" x14ac:dyDescent="0.25"/>
    <row r="230" ht="28.5" customHeight="1" spans="2:2" x14ac:dyDescent="0.25"/>
    <row r="231" ht="28.5" customHeight="1" spans="2:2" x14ac:dyDescent="0.25"/>
    <row r="232" ht="28.5" customHeight="1" spans="2:2" x14ac:dyDescent="0.25"/>
    <row r="233" ht="28.5" customHeight="1" spans="2:2" x14ac:dyDescent="0.25"/>
    <row r="234" ht="28.5" customHeight="1" spans="2:2" x14ac:dyDescent="0.25"/>
    <row r="235" ht="28.5" customHeight="1" spans="2:2" x14ac:dyDescent="0.25"/>
    <row r="236" ht="28.5" customHeight="1" spans="2:2" x14ac:dyDescent="0.25"/>
    <row r="237" ht="28.5" customHeight="1" spans="2:2" x14ac:dyDescent="0.25"/>
    <row r="238" ht="28.5" customHeight="1" spans="2:2" x14ac:dyDescent="0.25"/>
    <row r="239" ht="28.5" customHeight="1" spans="2:2" x14ac:dyDescent="0.25"/>
    <row r="240" ht="28.5" customHeight="1" spans="2:2" x14ac:dyDescent="0.25"/>
    <row r="241" ht="28.5" customHeight="1" spans="2:2" x14ac:dyDescent="0.25"/>
    <row r="242" ht="28.5" customHeight="1" spans="2:2" x14ac:dyDescent="0.25"/>
    <row r="243" ht="28.5" customHeight="1" spans="2:2" x14ac:dyDescent="0.25"/>
    <row r="244" ht="28.5" customHeight="1" spans="2:2" x14ac:dyDescent="0.25"/>
    <row r="245" ht="28.5" customHeight="1" spans="2:2" x14ac:dyDescent="0.25"/>
    <row r="246" ht="28.5" customHeight="1" spans="2:2" x14ac:dyDescent="0.25"/>
    <row r="247" ht="28.5" customHeight="1" spans="2:2" x14ac:dyDescent="0.25"/>
    <row r="248" ht="28.5" customHeight="1" spans="2:2" x14ac:dyDescent="0.25"/>
    <row r="249" ht="28.5" customHeight="1" spans="2:2" x14ac:dyDescent="0.25"/>
    <row r="250" ht="28.5" customHeight="1" spans="2:2" x14ac:dyDescent="0.25"/>
    <row r="251" ht="28.5" customHeight="1" spans="2:2" x14ac:dyDescent="0.25"/>
    <row r="252" ht="28.5" customHeight="1" spans="2:2" x14ac:dyDescent="0.25"/>
    <row r="253" ht="28.5" customHeight="1" spans="2:2" x14ac:dyDescent="0.25"/>
    <row r="254" ht="28.5" customHeight="1" spans="2:2" x14ac:dyDescent="0.25"/>
    <row r="255" ht="28.5" customHeight="1" spans="2:2" x14ac:dyDescent="0.25"/>
    <row r="256" ht="28.5" customHeight="1" spans="2:2" x14ac:dyDescent="0.25"/>
    <row r="257" ht="28.5" customHeight="1" spans="2:2" x14ac:dyDescent="0.25"/>
    <row r="258" ht="28.5" customHeight="1" spans="2:2" x14ac:dyDescent="0.25"/>
    <row r="259" ht="28.5" customHeight="1" spans="2:2" x14ac:dyDescent="0.25"/>
    <row r="260" ht="28.5" customHeight="1" spans="2:2" x14ac:dyDescent="0.25"/>
    <row r="261" ht="28.5" customHeight="1" spans="2:2" x14ac:dyDescent="0.25"/>
    <row r="262" ht="28.5" customHeight="1" spans="2:2" x14ac:dyDescent="0.25"/>
    <row r="263" ht="28.5" customHeight="1" spans="2:2" x14ac:dyDescent="0.25"/>
    <row r="264" ht="28.5" customHeight="1" spans="2:2" x14ac:dyDescent="0.25"/>
    <row r="265" ht="28.5" customHeight="1" spans="2:2" x14ac:dyDescent="0.25"/>
    <row r="266" ht="28.5" customHeight="1" spans="2:2" x14ac:dyDescent="0.25"/>
    <row r="267" ht="28.5" customHeight="1" spans="2:2" x14ac:dyDescent="0.25"/>
    <row r="268" ht="28.5" customHeight="1" spans="2:2" x14ac:dyDescent="0.25"/>
    <row r="269" ht="28.5" customHeight="1" spans="2:2" x14ac:dyDescent="0.25"/>
    <row r="270" ht="28.5" customHeight="1" spans="2:2" x14ac:dyDescent="0.25"/>
    <row r="271" ht="28.5" customHeight="1" spans="2:2" x14ac:dyDescent="0.25"/>
    <row r="272" ht="28.5" customHeight="1" spans="2:2" x14ac:dyDescent="0.25"/>
    <row r="273" ht="28.5" customHeight="1" spans="2:2" x14ac:dyDescent="0.25"/>
    <row r="274" ht="28.5" customHeight="1" spans="2:2" x14ac:dyDescent="0.25"/>
    <row r="275" ht="28.5" customHeight="1" spans="2:2" x14ac:dyDescent="0.25"/>
    <row r="276" ht="28.5" customHeight="1" spans="2:2" x14ac:dyDescent="0.25"/>
    <row r="277" ht="28.5" customHeight="1" spans="2:2" x14ac:dyDescent="0.25"/>
    <row r="278" ht="28.5" customHeight="1" spans="2:2" x14ac:dyDescent="0.25"/>
    <row r="279" ht="28.5" customHeight="1" spans="2:2" x14ac:dyDescent="0.25"/>
    <row r="280" ht="28.5" customHeight="1" spans="2:2" x14ac:dyDescent="0.25"/>
    <row r="281" ht="28.5" customHeight="1" spans="2:2" x14ac:dyDescent="0.25"/>
    <row r="282" ht="28.5" customHeight="1" spans="2:2" x14ac:dyDescent="0.25"/>
    <row r="283" ht="28.5" customHeight="1" spans="2:2" x14ac:dyDescent="0.25"/>
    <row r="284" ht="28.5" customHeight="1" spans="2:2" x14ac:dyDescent="0.25"/>
    <row r="285" ht="28.5" customHeight="1" spans="2:2" x14ac:dyDescent="0.25"/>
    <row r="286" ht="28.5" customHeight="1" spans="2:2" x14ac:dyDescent="0.25"/>
    <row r="287" ht="28.5" customHeight="1" spans="2:2" x14ac:dyDescent="0.25"/>
    <row r="288" ht="28.5" customHeight="1" spans="2:2" x14ac:dyDescent="0.25"/>
    <row r="289" ht="28.5" customHeight="1" spans="2:2" x14ac:dyDescent="0.25"/>
    <row r="290" ht="28.5" customHeight="1" spans="2:2" x14ac:dyDescent="0.25"/>
    <row r="291" ht="28.5" customHeight="1" spans="2:2" x14ac:dyDescent="0.25"/>
    <row r="292" ht="28.5" customHeight="1" spans="2:2" x14ac:dyDescent="0.25"/>
    <row r="293" ht="28.5" customHeight="1" spans="2:2" x14ac:dyDescent="0.25"/>
    <row r="294" ht="28.5" customHeight="1" spans="2:2" x14ac:dyDescent="0.25"/>
    <row r="295" ht="28.5" customHeight="1" spans="2:2" x14ac:dyDescent="0.25"/>
    <row r="296" ht="28.5" customHeight="1" spans="2:2" x14ac:dyDescent="0.25"/>
    <row r="297" ht="28.5" customHeight="1" spans="2:2" x14ac:dyDescent="0.25"/>
    <row r="298" ht="28.5" customHeight="1" spans="2:2" x14ac:dyDescent="0.25"/>
    <row r="299" ht="28.5" customHeight="1" spans="2:2" x14ac:dyDescent="0.25"/>
    <row r="300" ht="28.5" customHeight="1" spans="2:2" x14ac:dyDescent="0.25"/>
    <row r="301" ht="28.5" customHeight="1" spans="2:2" x14ac:dyDescent="0.25"/>
    <row r="302" ht="28.5" customHeight="1" spans="2:2" x14ac:dyDescent="0.25"/>
    <row r="303" ht="28.5" customHeight="1" spans="2:2" x14ac:dyDescent="0.25"/>
    <row r="304" ht="28.5" customHeight="1" spans="2:2" x14ac:dyDescent="0.25"/>
    <row r="305" ht="28.5" customHeight="1" spans="2:2" x14ac:dyDescent="0.25"/>
    <row r="306" ht="28.5" customHeight="1" spans="2:2" x14ac:dyDescent="0.25"/>
    <row r="307" ht="28.5" customHeight="1" spans="2:2" x14ac:dyDescent="0.25"/>
    <row r="308" ht="28.5" customHeight="1" spans="2:2" x14ac:dyDescent="0.25"/>
    <row r="309" ht="28.5" customHeight="1" spans="2:2" x14ac:dyDescent="0.25"/>
    <row r="310" ht="28.5" customHeight="1" spans="2:2" x14ac:dyDescent="0.25"/>
    <row r="311" ht="28.5" customHeight="1" spans="2:2" x14ac:dyDescent="0.25"/>
    <row r="312" ht="28.5" customHeight="1" spans="2:2" x14ac:dyDescent="0.25"/>
    <row r="313" ht="28.5" customHeight="1" spans="2:2" x14ac:dyDescent="0.25"/>
    <row r="314" ht="28.5" customHeight="1" spans="2:2" x14ac:dyDescent="0.25"/>
    <row r="315" ht="28.5" customHeight="1" spans="2:2" x14ac:dyDescent="0.25"/>
    <row r="316" ht="28.5" customHeight="1" spans="2:2" x14ac:dyDescent="0.25"/>
    <row r="317" ht="28.5" customHeight="1" spans="2:2" x14ac:dyDescent="0.25"/>
    <row r="318" ht="28.5" customHeight="1" spans="2:2" x14ac:dyDescent="0.25"/>
    <row r="319" ht="28.5" customHeight="1" spans="2:2" x14ac:dyDescent="0.25"/>
    <row r="320" ht="28.5" customHeight="1" spans="2:2" x14ac:dyDescent="0.25"/>
    <row r="321" ht="28.5" customHeight="1" spans="2:2" x14ac:dyDescent="0.25"/>
    <row r="322" ht="28.5" customHeight="1" spans="2:2" x14ac:dyDescent="0.25"/>
    <row r="323" ht="28.5" customHeight="1" spans="2:2" x14ac:dyDescent="0.25"/>
    <row r="324" ht="28.5" customHeight="1" spans="2:2" x14ac:dyDescent="0.25"/>
    <row r="325" ht="28.5" customHeight="1" spans="2:2" x14ac:dyDescent="0.25"/>
    <row r="326" ht="28.5" customHeight="1" spans="2:2" x14ac:dyDescent="0.25"/>
    <row r="327" ht="28.5" customHeight="1" spans="2:2" x14ac:dyDescent="0.25"/>
    <row r="328" ht="28.5" customHeight="1" spans="2:2" x14ac:dyDescent="0.25"/>
    <row r="329" ht="28.5" customHeight="1" spans="2:2" x14ac:dyDescent="0.25"/>
    <row r="330" ht="28.5" customHeight="1" spans="2:2" x14ac:dyDescent="0.25"/>
    <row r="331" ht="28.5" customHeight="1" spans="2:2" x14ac:dyDescent="0.25"/>
    <row r="332" ht="28.5" customHeight="1" spans="2:2" x14ac:dyDescent="0.25"/>
    <row r="333" ht="28.5" customHeight="1" spans="2:2" x14ac:dyDescent="0.25"/>
    <row r="334" ht="28.5" customHeight="1" spans="2:2" x14ac:dyDescent="0.25"/>
    <row r="335" ht="28.5" customHeight="1" spans="2:2" x14ac:dyDescent="0.25"/>
    <row r="336" ht="28.5" customHeight="1" spans="2:2" x14ac:dyDescent="0.25"/>
    <row r="337" ht="28.5" customHeight="1" spans="2:2" x14ac:dyDescent="0.25"/>
    <row r="338" ht="28.5" customHeight="1" spans="2:2" x14ac:dyDescent="0.25"/>
    <row r="339" ht="28.5" customHeight="1" spans="2:2" x14ac:dyDescent="0.25"/>
    <row r="340" ht="28.5" customHeight="1" spans="2:2" x14ac:dyDescent="0.25"/>
    <row r="341" ht="28.5" customHeight="1" spans="2:2" x14ac:dyDescent="0.25"/>
    <row r="342" ht="28.5" customHeight="1" spans="2:2" x14ac:dyDescent="0.25"/>
    <row r="343" ht="28.5" customHeight="1" spans="2:2" x14ac:dyDescent="0.25"/>
    <row r="344" ht="28.5" customHeight="1" spans="2:2" x14ac:dyDescent="0.25"/>
    <row r="345" ht="28.5" customHeight="1" spans="2:2" x14ac:dyDescent="0.25"/>
    <row r="346" ht="28.5" customHeight="1" spans="2:2" x14ac:dyDescent="0.25"/>
    <row r="347" ht="28.5" customHeight="1" spans="2:2" x14ac:dyDescent="0.25"/>
    <row r="348" ht="28.5" customHeight="1" spans="2:2" x14ac:dyDescent="0.25"/>
    <row r="349" ht="28.5" customHeight="1" spans="2:2" x14ac:dyDescent="0.25"/>
    <row r="350" ht="28.5" customHeight="1" spans="2:2" x14ac:dyDescent="0.25"/>
    <row r="351" ht="28.5" customHeight="1" spans="2:2" x14ac:dyDescent="0.25"/>
    <row r="352" ht="28.5" customHeight="1" spans="2:2" x14ac:dyDescent="0.25"/>
    <row r="353" ht="28.5" customHeight="1" spans="2:2" x14ac:dyDescent="0.25"/>
    <row r="354" ht="28.5" customHeight="1" spans="2:2" x14ac:dyDescent="0.25"/>
    <row r="355" ht="28.5" customHeight="1" spans="2:2" x14ac:dyDescent="0.25"/>
    <row r="356" ht="28.5" customHeight="1" spans="2:2" x14ac:dyDescent="0.25"/>
    <row r="357" ht="28.5" customHeight="1" spans="2:2" x14ac:dyDescent="0.25"/>
    <row r="358" ht="28.5" customHeight="1" spans="2:2" x14ac:dyDescent="0.25"/>
    <row r="359" ht="28.5" customHeight="1" spans="2:2" x14ac:dyDescent="0.25"/>
    <row r="360" ht="28.5" customHeight="1" spans="2:2" x14ac:dyDescent="0.25"/>
    <row r="361" ht="28.5" customHeight="1" spans="2:2" x14ac:dyDescent="0.25"/>
    <row r="362" ht="28.5" customHeight="1" spans="2:2" x14ac:dyDescent="0.25"/>
    <row r="363" ht="28.5" customHeight="1" spans="2:2" x14ac:dyDescent="0.25"/>
    <row r="364" ht="28.5" customHeight="1" spans="2:2" x14ac:dyDescent="0.25"/>
    <row r="365" ht="28.5" customHeight="1" spans="2:2" x14ac:dyDescent="0.25"/>
    <row r="366" ht="28.5" customHeight="1" spans="2:2" x14ac:dyDescent="0.25"/>
    <row r="367" ht="28.5" customHeight="1" spans="2:2" x14ac:dyDescent="0.25"/>
    <row r="368" ht="28.5" customHeight="1" spans="2:2" x14ac:dyDescent="0.25"/>
    <row r="369" ht="28.5" customHeight="1" spans="2:2" x14ac:dyDescent="0.25"/>
    <row r="370" ht="28.5" customHeight="1" spans="2:2" x14ac:dyDescent="0.25"/>
    <row r="371" ht="28.5" customHeight="1" spans="2:2" x14ac:dyDescent="0.25"/>
    <row r="372" ht="28.5" customHeight="1" spans="2:2" x14ac:dyDescent="0.25"/>
    <row r="373" ht="28.5" customHeight="1" spans="2:2" x14ac:dyDescent="0.25"/>
    <row r="374" ht="28.5" customHeight="1" spans="2:2" x14ac:dyDescent="0.25"/>
    <row r="375" ht="28.5" customHeight="1" spans="2:2" x14ac:dyDescent="0.25"/>
    <row r="376" ht="28.5" customHeight="1" spans="2:2" x14ac:dyDescent="0.25"/>
    <row r="377" ht="28.5" customHeight="1" spans="2:2" x14ac:dyDescent="0.25"/>
    <row r="378" ht="28.5" customHeight="1" spans="2:2" x14ac:dyDescent="0.25"/>
    <row r="379" ht="28.5" customHeight="1" spans="2:2" x14ac:dyDescent="0.25"/>
    <row r="380" ht="28.5" customHeight="1" spans="2:2" x14ac:dyDescent="0.25"/>
    <row r="381" ht="28.5" customHeight="1" spans="2:2" x14ac:dyDescent="0.25"/>
    <row r="382" ht="28.5" customHeight="1" spans="2:2" x14ac:dyDescent="0.25"/>
    <row r="383" ht="28.5" customHeight="1" spans="2:2" x14ac:dyDescent="0.25"/>
    <row r="384" ht="28.5" customHeight="1" spans="2:2" x14ac:dyDescent="0.25"/>
    <row r="385" ht="28.5" customHeight="1" spans="2:2" x14ac:dyDescent="0.25"/>
    <row r="386" ht="28.5" customHeight="1" spans="2:2" x14ac:dyDescent="0.25"/>
    <row r="387" ht="28.5" customHeight="1" spans="2:2" x14ac:dyDescent="0.25"/>
    <row r="388" ht="28.5" customHeight="1" spans="2:2" x14ac:dyDescent="0.25"/>
    <row r="389" ht="28.5" customHeight="1" spans="2:2" x14ac:dyDescent="0.25"/>
    <row r="390" ht="28.5" customHeight="1" spans="2:2" x14ac:dyDescent="0.25"/>
    <row r="391" ht="28.5" customHeight="1" spans="2:2" x14ac:dyDescent="0.25"/>
    <row r="392" ht="28.5" customHeight="1" spans="2:2" x14ac:dyDescent="0.25"/>
    <row r="393" ht="28.5" customHeight="1" spans="2:2" x14ac:dyDescent="0.25"/>
    <row r="394" ht="28.5" customHeight="1" spans="2:2" x14ac:dyDescent="0.25"/>
    <row r="395" ht="28.5" customHeight="1" spans="2:2" x14ac:dyDescent="0.25"/>
    <row r="396" ht="28.5" customHeight="1" spans="2:2" x14ac:dyDescent="0.25"/>
    <row r="397" ht="28.5" customHeight="1" spans="2:2" x14ac:dyDescent="0.25"/>
    <row r="398" ht="28.5" customHeight="1" spans="2:2" x14ac:dyDescent="0.25"/>
    <row r="399" ht="28.5" customHeight="1" spans="2:2" x14ac:dyDescent="0.25"/>
    <row r="400" ht="28.5" customHeight="1" spans="2:2" x14ac:dyDescent="0.25"/>
    <row r="401" ht="28.5" customHeight="1" spans="2:2" x14ac:dyDescent="0.25"/>
    <row r="402" ht="28.5" customHeight="1" spans="2:2" x14ac:dyDescent="0.25"/>
    <row r="403" ht="28.5" customHeight="1" spans="2:2" x14ac:dyDescent="0.25"/>
    <row r="404" ht="28.5" customHeight="1" spans="2:2" x14ac:dyDescent="0.25"/>
    <row r="405" ht="28.5" customHeight="1" spans="2:2" x14ac:dyDescent="0.25"/>
    <row r="406" ht="28.5" customHeight="1" spans="2:2" x14ac:dyDescent="0.25"/>
    <row r="407" ht="28.5" customHeight="1" spans="2:2" x14ac:dyDescent="0.25"/>
    <row r="408" ht="28.5" customHeight="1" spans="2:2" x14ac:dyDescent="0.25"/>
    <row r="409" ht="28.5" customHeight="1" spans="2:2" x14ac:dyDescent="0.25"/>
    <row r="410" ht="28.5" customHeight="1" spans="2:2" x14ac:dyDescent="0.25"/>
    <row r="411" ht="28.5" customHeight="1" spans="2:2" x14ac:dyDescent="0.25"/>
    <row r="412" ht="28.5" customHeight="1" spans="2:2" x14ac:dyDescent="0.25"/>
    <row r="413" ht="28.5" customHeight="1" spans="2:2" x14ac:dyDescent="0.25"/>
    <row r="414" ht="28.5" customHeight="1" spans="2:2" x14ac:dyDescent="0.25"/>
    <row r="415" ht="28.5" customHeight="1" spans="2:2" x14ac:dyDescent="0.25"/>
    <row r="416" ht="28.5" customHeight="1" spans="2:2" x14ac:dyDescent="0.25"/>
    <row r="417" ht="28.5" customHeight="1" spans="2:2" x14ac:dyDescent="0.25"/>
    <row r="418" ht="28.5" customHeight="1" spans="2:2" x14ac:dyDescent="0.25"/>
    <row r="419" ht="28.5" customHeight="1" spans="2:2" x14ac:dyDescent="0.25"/>
    <row r="420" ht="28.5" customHeight="1" spans="2:2" x14ac:dyDescent="0.25"/>
    <row r="421" ht="28.5" customHeight="1" spans="2:2" x14ac:dyDescent="0.25"/>
    <row r="422" ht="28.5" customHeight="1" spans="2:2" x14ac:dyDescent="0.25"/>
    <row r="423" ht="28.5" customHeight="1" spans="2:2" x14ac:dyDescent="0.25"/>
    <row r="424" ht="28.5" customHeight="1" spans="2:2" x14ac:dyDescent="0.25"/>
    <row r="425" ht="28.5" customHeight="1" spans="2:2" x14ac:dyDescent="0.25"/>
    <row r="426" ht="28.5" customHeight="1" spans="2:2" x14ac:dyDescent="0.25"/>
    <row r="427" ht="28.5" customHeight="1" spans="2:2" x14ac:dyDescent="0.25"/>
    <row r="428" ht="28.5" customHeight="1" spans="2:2" x14ac:dyDescent="0.25"/>
    <row r="429" ht="28.5" customHeight="1" spans="2:2" x14ac:dyDescent="0.25"/>
    <row r="430" ht="28.5" customHeight="1" spans="2:2" x14ac:dyDescent="0.25"/>
    <row r="431" ht="28.5" customHeight="1" spans="2:2" x14ac:dyDescent="0.25"/>
    <row r="432" ht="28.5" customHeight="1" spans="2:2" x14ac:dyDescent="0.25"/>
    <row r="433" ht="28.5" customHeight="1" spans="2:2" x14ac:dyDescent="0.25"/>
    <row r="434" ht="28.5" customHeight="1" spans="2:2" x14ac:dyDescent="0.25"/>
    <row r="435" ht="28.5" customHeight="1" spans="2:2" x14ac:dyDescent="0.25"/>
    <row r="436" ht="28.5" customHeight="1" spans="2:2" x14ac:dyDescent="0.25"/>
    <row r="437" ht="28.5" customHeight="1" spans="2:2" x14ac:dyDescent="0.25"/>
    <row r="438" ht="28.5" customHeight="1" spans="2:2" x14ac:dyDescent="0.25"/>
    <row r="439" ht="28.5" customHeight="1" spans="2:2" x14ac:dyDescent="0.25"/>
    <row r="440" ht="28.5" customHeight="1" spans="2:2" x14ac:dyDescent="0.25"/>
    <row r="441" ht="28.5" customHeight="1" spans="2:2" x14ac:dyDescent="0.25"/>
    <row r="442" ht="28.5" customHeight="1" spans="2:2" x14ac:dyDescent="0.25"/>
    <row r="443" ht="28.5" customHeight="1" spans="2:2" x14ac:dyDescent="0.25"/>
    <row r="444" ht="28.5" customHeight="1" spans="2:2" x14ac:dyDescent="0.25"/>
    <row r="445" ht="28.5" customHeight="1" spans="2:2" x14ac:dyDescent="0.25"/>
    <row r="446" ht="28.5" customHeight="1" spans="2:2" x14ac:dyDescent="0.25"/>
    <row r="447" ht="28.5" customHeight="1" spans="2:2" x14ac:dyDescent="0.25"/>
    <row r="448" ht="28.5" customHeight="1" spans="2:2" x14ac:dyDescent="0.25"/>
    <row r="449" ht="28.5" customHeight="1" spans="2:2" x14ac:dyDescent="0.25"/>
    <row r="450" ht="28.5" customHeight="1" spans="2:2" x14ac:dyDescent="0.25"/>
    <row r="451" ht="28.5" customHeight="1" spans="2:2" x14ac:dyDescent="0.25"/>
    <row r="452" ht="28.5" customHeight="1" spans="2:2" x14ac:dyDescent="0.25"/>
    <row r="453" ht="28.5" customHeight="1" spans="2:2" x14ac:dyDescent="0.25"/>
    <row r="454" ht="28.5" customHeight="1" spans="2:2" x14ac:dyDescent="0.25"/>
    <row r="455" ht="28.5" customHeight="1" spans="2:2" x14ac:dyDescent="0.25"/>
    <row r="456" ht="28.5" customHeight="1" spans="2:2" x14ac:dyDescent="0.25"/>
    <row r="457" ht="28.5" customHeight="1" spans="2:2" x14ac:dyDescent="0.25"/>
    <row r="458" ht="28.5" customHeight="1" spans="2:2" x14ac:dyDescent="0.25"/>
    <row r="459" ht="28.5" customHeight="1" spans="2:2" x14ac:dyDescent="0.25"/>
    <row r="460" ht="28.5" customHeight="1" spans="2:2" x14ac:dyDescent="0.25"/>
    <row r="461" ht="28.5" customHeight="1" spans="2:2" x14ac:dyDescent="0.25"/>
    <row r="462" ht="28.5" customHeight="1" spans="2:2" x14ac:dyDescent="0.25"/>
    <row r="463" ht="28.5" customHeight="1" spans="2:2" x14ac:dyDescent="0.25"/>
    <row r="464" ht="28.5" customHeight="1" spans="2:2" x14ac:dyDescent="0.25"/>
    <row r="465" ht="28.5" customHeight="1" spans="2:2" x14ac:dyDescent="0.25"/>
    <row r="466" ht="28.5" customHeight="1" spans="2:2" x14ac:dyDescent="0.25"/>
    <row r="467" ht="28.5" customHeight="1" spans="2:2" x14ac:dyDescent="0.25"/>
    <row r="468" ht="28.5" customHeight="1" spans="2:2" x14ac:dyDescent="0.25"/>
    <row r="469" ht="28.5" customHeight="1" spans="2:2" x14ac:dyDescent="0.25"/>
    <row r="470" ht="28.5" customHeight="1" spans="2:2" x14ac:dyDescent="0.25"/>
    <row r="471" ht="28.5" customHeight="1" spans="2:2" x14ac:dyDescent="0.25"/>
    <row r="472" ht="28.5" customHeight="1" spans="2:2" x14ac:dyDescent="0.25"/>
    <row r="473" ht="28.5" customHeight="1" spans="2:2" x14ac:dyDescent="0.25"/>
    <row r="474" ht="28.5" customHeight="1" spans="2:2" x14ac:dyDescent="0.25"/>
    <row r="475" ht="28.5" customHeight="1" spans="2:2" x14ac:dyDescent="0.25"/>
    <row r="476" ht="28.5" customHeight="1" spans="2:2" x14ac:dyDescent="0.25"/>
    <row r="477" ht="28.5" customHeight="1" spans="2:2" x14ac:dyDescent="0.25"/>
    <row r="478" ht="28.5" customHeight="1" spans="2:2" x14ac:dyDescent="0.25"/>
    <row r="479" ht="28.5" customHeight="1" spans="2:2" x14ac:dyDescent="0.25"/>
    <row r="480" ht="28.5" customHeight="1" spans="2:2" x14ac:dyDescent="0.25"/>
    <row r="481" ht="28.5" customHeight="1" spans="2:2" x14ac:dyDescent="0.25"/>
    <row r="482" ht="28.5" customHeight="1" spans="2:2" x14ac:dyDescent="0.25"/>
    <row r="483" ht="28.5" customHeight="1" spans="2:2" x14ac:dyDescent="0.25"/>
    <row r="484" ht="28.5" customHeight="1" spans="2:2" x14ac:dyDescent="0.25"/>
    <row r="485" ht="28.5" customHeight="1" spans="2:2" x14ac:dyDescent="0.25"/>
    <row r="486" ht="28.5" customHeight="1" spans="2:2" x14ac:dyDescent="0.25"/>
    <row r="487" ht="28.5" customHeight="1" spans="2:2" x14ac:dyDescent="0.25"/>
    <row r="488" ht="28.5" customHeight="1" spans="2:2" x14ac:dyDescent="0.25"/>
    <row r="489" ht="28.5" customHeight="1" spans="2:2" x14ac:dyDescent="0.25"/>
    <row r="490" ht="28.5" customHeight="1" spans="2:2" x14ac:dyDescent="0.25"/>
    <row r="491" ht="28.5" customHeight="1" spans="2:2" x14ac:dyDescent="0.25"/>
    <row r="492" ht="28.5" customHeight="1" spans="2:2" x14ac:dyDescent="0.25"/>
    <row r="493" ht="28.5" customHeight="1" spans="2:2" x14ac:dyDescent="0.25"/>
    <row r="494" ht="28.5" customHeight="1" spans="2:2" x14ac:dyDescent="0.25"/>
    <row r="495" ht="28.5" customHeight="1" spans="2:2" x14ac:dyDescent="0.25"/>
    <row r="496" ht="28.5" customHeight="1" spans="2:2" x14ac:dyDescent="0.25"/>
    <row r="497" ht="28.5" customHeight="1" spans="2:2" x14ac:dyDescent="0.25"/>
    <row r="498" ht="28.5" customHeight="1" spans="2:2" x14ac:dyDescent="0.25"/>
    <row r="499" ht="28.5" customHeight="1" spans="2:2" x14ac:dyDescent="0.25"/>
    <row r="500" ht="28.5" customHeight="1" spans="2:2" x14ac:dyDescent="0.25"/>
    <row r="501" ht="28.5" customHeight="1" spans="2:2" x14ac:dyDescent="0.25"/>
    <row r="502" ht="28.5" customHeight="1" spans="2:2" x14ac:dyDescent="0.25"/>
    <row r="503" ht="28.5" customHeight="1" spans="2:2" x14ac:dyDescent="0.25"/>
    <row r="504" ht="28.5" customHeight="1" spans="2:2" x14ac:dyDescent="0.25"/>
    <row r="505" ht="28.5" customHeight="1" spans="2:2" x14ac:dyDescent="0.25"/>
    <row r="506" ht="28.5" customHeight="1" spans="2:2" x14ac:dyDescent="0.25"/>
    <row r="507" ht="28.5" customHeight="1" spans="2:2" x14ac:dyDescent="0.25"/>
    <row r="508" ht="28.5" customHeight="1" spans="2:2" x14ac:dyDescent="0.25"/>
    <row r="509" ht="28.5" customHeight="1" spans="2:2" x14ac:dyDescent="0.25"/>
    <row r="510" ht="28.5" customHeight="1" spans="2:2" x14ac:dyDescent="0.25"/>
    <row r="511" ht="28.5" customHeight="1" spans="2:2" x14ac:dyDescent="0.25"/>
    <row r="512" ht="28.5" customHeight="1" spans="2:2" x14ac:dyDescent="0.25"/>
    <row r="513" ht="28.5" customHeight="1" spans="2:2" x14ac:dyDescent="0.25"/>
    <row r="514" ht="28.5" customHeight="1" spans="2:2" x14ac:dyDescent="0.25"/>
    <row r="515" ht="28.5" customHeight="1" spans="2:2" x14ac:dyDescent="0.25"/>
    <row r="516" ht="28.5" customHeight="1" spans="2:2" x14ac:dyDescent="0.25"/>
    <row r="517" ht="28.5" customHeight="1" spans="2:2" x14ac:dyDescent="0.25"/>
    <row r="518" ht="28.5" customHeight="1" spans="2:2" x14ac:dyDescent="0.25"/>
    <row r="519" ht="28.5" customHeight="1" spans="2:2" x14ac:dyDescent="0.25"/>
    <row r="520" ht="28.5" customHeight="1" spans="2:2" x14ac:dyDescent="0.25"/>
    <row r="521" ht="28.5" customHeight="1" spans="2:2" x14ac:dyDescent="0.25"/>
    <row r="522" ht="28.5" customHeight="1" spans="2:2" x14ac:dyDescent="0.25"/>
    <row r="523" ht="28.5" customHeight="1" spans="2:2" x14ac:dyDescent="0.25"/>
    <row r="524" ht="28.5" customHeight="1" spans="2:2" x14ac:dyDescent="0.25"/>
    <row r="525" ht="28.5" customHeight="1" spans="2:2" x14ac:dyDescent="0.25"/>
    <row r="526" ht="28.5" customHeight="1" spans="2:2" x14ac:dyDescent="0.25"/>
    <row r="527" ht="28.5" customHeight="1" spans="2:2" x14ac:dyDescent="0.25"/>
    <row r="528" ht="28.5" customHeight="1" spans="2:2" x14ac:dyDescent="0.25"/>
    <row r="529" ht="28.5" customHeight="1" spans="2:2" x14ac:dyDescent="0.25"/>
    <row r="530" ht="28.5" customHeight="1" spans="2:2" x14ac:dyDescent="0.25"/>
    <row r="531" ht="28.5" customHeight="1" spans="2:2" x14ac:dyDescent="0.25"/>
    <row r="532" ht="28.5" customHeight="1" spans="2:2" x14ac:dyDescent="0.25"/>
    <row r="533" ht="28.5" customHeight="1" spans="2:2" x14ac:dyDescent="0.25"/>
    <row r="534" ht="28.5" customHeight="1" spans="2:2" x14ac:dyDescent="0.25"/>
    <row r="535" ht="28.5" customHeight="1" spans="2:2" x14ac:dyDescent="0.25"/>
    <row r="536" ht="28.5" customHeight="1" spans="2:2" x14ac:dyDescent="0.25"/>
    <row r="537" ht="28.5" customHeight="1" spans="2:2" x14ac:dyDescent="0.25"/>
    <row r="538" ht="28.5" customHeight="1" spans="2:2" x14ac:dyDescent="0.25"/>
    <row r="539" ht="28.5" customHeight="1" spans="2:2" x14ac:dyDescent="0.25"/>
    <row r="540" ht="28.5" customHeight="1" spans="2:2" x14ac:dyDescent="0.25"/>
    <row r="541" ht="28.5" customHeight="1" spans="2:2" x14ac:dyDescent="0.25"/>
    <row r="542" ht="28.5" customHeight="1" spans="2:2" x14ac:dyDescent="0.25"/>
    <row r="543" ht="28.5" customHeight="1" spans="2:2" x14ac:dyDescent="0.25"/>
    <row r="544" ht="28.5" customHeight="1" spans="2:2" x14ac:dyDescent="0.25"/>
    <row r="545" ht="28.5" customHeight="1" spans="2:2" x14ac:dyDescent="0.25"/>
    <row r="546" ht="28.5" customHeight="1" spans="2:2" x14ac:dyDescent="0.25"/>
    <row r="547" ht="28.5" customHeight="1" spans="2:2" x14ac:dyDescent="0.25"/>
    <row r="548" ht="28.5" customHeight="1" spans="2:2" x14ac:dyDescent="0.25"/>
    <row r="549" ht="28.5" customHeight="1" spans="2:2" x14ac:dyDescent="0.25"/>
    <row r="550" ht="28.5" customHeight="1" spans="2:2" x14ac:dyDescent="0.25"/>
    <row r="551" ht="28.5" customHeight="1" spans="2:2" x14ac:dyDescent="0.25"/>
    <row r="552" ht="28.5" customHeight="1" spans="2:2" x14ac:dyDescent="0.25"/>
    <row r="553" ht="28.5" customHeight="1" spans="2:2" x14ac:dyDescent="0.25"/>
    <row r="554" ht="28.5" customHeight="1" spans="2:2" x14ac:dyDescent="0.25"/>
    <row r="555" ht="28.5" customHeight="1" spans="2:2" x14ac:dyDescent="0.25"/>
    <row r="556" ht="28.5" customHeight="1" spans="2:2" x14ac:dyDescent="0.25"/>
    <row r="557" ht="28.5" customHeight="1" spans="2:2" x14ac:dyDescent="0.25"/>
    <row r="558" ht="28.5" customHeight="1" spans="2:2" x14ac:dyDescent="0.25"/>
    <row r="559" ht="28.5" customHeight="1" spans="2:2" x14ac:dyDescent="0.25"/>
    <row r="560" ht="28.5" customHeight="1" spans="2:2" x14ac:dyDescent="0.25"/>
    <row r="561" ht="28.5" customHeight="1" spans="2:2" x14ac:dyDescent="0.25"/>
    <row r="562" ht="28.5" customHeight="1" spans="2:2" x14ac:dyDescent="0.25"/>
    <row r="563" ht="28.5" customHeight="1" spans="2:2" x14ac:dyDescent="0.25"/>
    <row r="564" ht="28.5" customHeight="1" spans="2:2" x14ac:dyDescent="0.25"/>
    <row r="565" ht="28.5" customHeight="1" spans="2:2" x14ac:dyDescent="0.25"/>
    <row r="566" ht="28.5" customHeight="1" spans="2:2" x14ac:dyDescent="0.25"/>
    <row r="567" ht="28.5" customHeight="1" spans="2:2" x14ac:dyDescent="0.25"/>
    <row r="568" ht="28.5" customHeight="1" spans="2:2" x14ac:dyDescent="0.25"/>
    <row r="569" ht="28.5" customHeight="1" spans="2:2" x14ac:dyDescent="0.25"/>
    <row r="570" ht="28.5" customHeight="1" spans="2:2" x14ac:dyDescent="0.25"/>
    <row r="571" ht="28.5" customHeight="1" spans="2:2" x14ac:dyDescent="0.25"/>
    <row r="572" ht="28.5" customHeight="1" spans="2:2" x14ac:dyDescent="0.25"/>
    <row r="573" ht="28.5" customHeight="1" spans="2:2" x14ac:dyDescent="0.25"/>
    <row r="574" ht="28.5" customHeight="1" spans="2:2" x14ac:dyDescent="0.25"/>
    <row r="575" ht="28.5" customHeight="1" spans="2:2" x14ac:dyDescent="0.25"/>
    <row r="576" ht="28.5" customHeight="1" spans="2:2" x14ac:dyDescent="0.25"/>
    <row r="577" ht="28.5" customHeight="1" spans="2:2" x14ac:dyDescent="0.25"/>
    <row r="578" ht="28.5" customHeight="1" spans="2:2" x14ac:dyDescent="0.25"/>
    <row r="579" ht="28.5" customHeight="1" spans="2:2" x14ac:dyDescent="0.25"/>
    <row r="580" ht="28.5" customHeight="1" spans="2:2" x14ac:dyDescent="0.25"/>
    <row r="581" ht="28.5" customHeight="1" spans="2:2" x14ac:dyDescent="0.25"/>
    <row r="582" ht="28.5" customHeight="1" spans="2:2" x14ac:dyDescent="0.25"/>
    <row r="583" ht="28.5" customHeight="1" spans="2:2" x14ac:dyDescent="0.25"/>
    <row r="584" ht="28.5" customHeight="1" spans="2:2" x14ac:dyDescent="0.25"/>
    <row r="585" ht="28.5" customHeight="1" spans="2:2" x14ac:dyDescent="0.25"/>
    <row r="586" ht="28.5" customHeight="1" spans="2:2" x14ac:dyDescent="0.25"/>
    <row r="587" ht="28.5" customHeight="1" spans="2:2" x14ac:dyDescent="0.25"/>
    <row r="588" ht="28.5" customHeight="1" spans="2:2" x14ac:dyDescent="0.25"/>
    <row r="589" ht="28.5" customHeight="1" spans="2:2" x14ac:dyDescent="0.25"/>
    <row r="590" ht="28.5" customHeight="1" spans="2:2" x14ac:dyDescent="0.25"/>
    <row r="591" ht="28.5" customHeight="1" spans="2:2" x14ac:dyDescent="0.25"/>
    <row r="592" ht="28.5" customHeight="1" spans="2:2" x14ac:dyDescent="0.25"/>
    <row r="593" ht="28.5" customHeight="1" spans="2:2" x14ac:dyDescent="0.25"/>
    <row r="594" ht="28.5" customHeight="1" spans="2:2" x14ac:dyDescent="0.25"/>
    <row r="595" ht="28.5" customHeight="1" spans="2:2" x14ac:dyDescent="0.25"/>
    <row r="596" ht="28.5" customHeight="1" spans="2:2" x14ac:dyDescent="0.25"/>
    <row r="597" ht="28.5" customHeight="1" spans="2:2" x14ac:dyDescent="0.25"/>
    <row r="598" ht="28.5" customHeight="1" spans="2:2" x14ac:dyDescent="0.25"/>
    <row r="599" ht="28.5" customHeight="1" spans="2:2" x14ac:dyDescent="0.25"/>
    <row r="600" ht="28.5" customHeight="1" spans="2:2" x14ac:dyDescent="0.25"/>
    <row r="601" ht="28.5" customHeight="1" spans="2:2" x14ac:dyDescent="0.25"/>
    <row r="602" ht="28.5" customHeight="1" spans="2:2" x14ac:dyDescent="0.25"/>
    <row r="603" ht="28.5" customHeight="1" spans="2:2" x14ac:dyDescent="0.25"/>
    <row r="604" ht="28.5" customHeight="1" spans="2:2" x14ac:dyDescent="0.25"/>
    <row r="605" ht="28.5" customHeight="1" spans="2:2" x14ac:dyDescent="0.25"/>
    <row r="606" ht="28.5" customHeight="1" spans="2:2" x14ac:dyDescent="0.25"/>
    <row r="607" ht="28.5" customHeight="1" spans="2:2" x14ac:dyDescent="0.25"/>
    <row r="608" ht="28.5" customHeight="1" spans="2:2" x14ac:dyDescent="0.25"/>
    <row r="609" ht="28.5" customHeight="1" spans="2:2" x14ac:dyDescent="0.25"/>
    <row r="610" ht="28.5" customHeight="1" spans="2:2" x14ac:dyDescent="0.25"/>
    <row r="611" ht="28.5" customHeight="1" spans="2:2" x14ac:dyDescent="0.25"/>
    <row r="612" ht="28.5" customHeight="1" spans="2:2" x14ac:dyDescent="0.25"/>
    <row r="613" ht="28.5" customHeight="1" spans="2:2" x14ac:dyDescent="0.25"/>
    <row r="614" ht="28.5" customHeight="1" spans="2:2" x14ac:dyDescent="0.25"/>
    <row r="615" ht="28.5" customHeight="1" spans="2:2" x14ac:dyDescent="0.25"/>
    <row r="616" ht="28.5" customHeight="1" spans="2:2" x14ac:dyDescent="0.25"/>
    <row r="617" ht="28.5" customHeight="1" spans="2:2" x14ac:dyDescent="0.25"/>
    <row r="618" ht="28.5" customHeight="1" spans="2:2" x14ac:dyDescent="0.25"/>
    <row r="619" ht="28.5" customHeight="1" spans="2:2" x14ac:dyDescent="0.25"/>
    <row r="620" ht="28.5" customHeight="1" spans="2:2" x14ac:dyDescent="0.25"/>
    <row r="621" ht="28.5" customHeight="1" spans="2:2" x14ac:dyDescent="0.25"/>
    <row r="622" ht="28.5" customHeight="1" spans="2:2" x14ac:dyDescent="0.25"/>
    <row r="623" ht="28.5" customHeight="1" spans="2:2" x14ac:dyDescent="0.25"/>
    <row r="624" ht="28.5" customHeight="1" spans="2:2" x14ac:dyDescent="0.25"/>
    <row r="625" ht="28.5" customHeight="1" spans="2:2" x14ac:dyDescent="0.25"/>
    <row r="626" ht="28.5" customHeight="1" spans="2:2" x14ac:dyDescent="0.25"/>
    <row r="627" ht="28.5" customHeight="1" spans="2:2" x14ac:dyDescent="0.25"/>
    <row r="628" ht="28.5" customHeight="1" spans="2:2" x14ac:dyDescent="0.25"/>
    <row r="629" ht="28.5" customHeight="1" spans="2:2" x14ac:dyDescent="0.25"/>
    <row r="630" ht="28.5" customHeight="1" spans="2:2" x14ac:dyDescent="0.25"/>
    <row r="631" ht="28.5" customHeight="1" spans="2:2" x14ac:dyDescent="0.25"/>
    <row r="632" ht="28.5" customHeight="1" spans="2:2" x14ac:dyDescent="0.25"/>
    <row r="633" ht="28.5" customHeight="1" spans="2:2" x14ac:dyDescent="0.25"/>
    <row r="634" ht="28.5" customHeight="1" spans="2:2" x14ac:dyDescent="0.25"/>
    <row r="635" ht="28.5" customHeight="1" spans="2:2" x14ac:dyDescent="0.25"/>
    <row r="636" ht="28.5" customHeight="1" spans="2:2" x14ac:dyDescent="0.25"/>
    <row r="637" ht="28.5" customHeight="1" spans="2:2" x14ac:dyDescent="0.25"/>
    <row r="638" ht="28.5" customHeight="1" spans="2:2" x14ac:dyDescent="0.25"/>
    <row r="639" ht="28.5" customHeight="1" spans="2:2" x14ac:dyDescent="0.25"/>
    <row r="640" ht="28.5" customHeight="1" spans="2:2" x14ac:dyDescent="0.25"/>
    <row r="641" ht="28.5" customHeight="1" spans="2:2" x14ac:dyDescent="0.25"/>
    <row r="642" ht="28.5" customHeight="1" spans="2:2" x14ac:dyDescent="0.25"/>
    <row r="643" ht="28.5" customHeight="1" spans="2:2" x14ac:dyDescent="0.25"/>
    <row r="644" ht="28.5" customHeight="1" spans="2:2" x14ac:dyDescent="0.25"/>
    <row r="645" ht="28.5" customHeight="1" spans="2:2" x14ac:dyDescent="0.25"/>
    <row r="646" ht="28.5" customHeight="1" spans="2:2" x14ac:dyDescent="0.25"/>
    <row r="647" ht="28.5" customHeight="1" spans="2:2" x14ac:dyDescent="0.25"/>
    <row r="648" ht="28.5" customHeight="1" spans="2:2" x14ac:dyDescent="0.25"/>
    <row r="649" ht="28.5" customHeight="1" spans="2:2" x14ac:dyDescent="0.25"/>
    <row r="650" ht="28.5" customHeight="1" spans="2:2" x14ac:dyDescent="0.25"/>
    <row r="651" ht="28.5" customHeight="1" spans="2:2" x14ac:dyDescent="0.25"/>
    <row r="652" ht="28.5" customHeight="1" spans="2:2" x14ac:dyDescent="0.25"/>
    <row r="653" ht="28.5" customHeight="1" spans="2:2" x14ac:dyDescent="0.25"/>
    <row r="654" ht="28.5" customHeight="1" spans="2:2" x14ac:dyDescent="0.25"/>
    <row r="655" ht="28.5" customHeight="1" spans="2:2" x14ac:dyDescent="0.25"/>
    <row r="656" ht="28.5" customHeight="1" spans="2:2" x14ac:dyDescent="0.25"/>
    <row r="657" ht="28.5" customHeight="1" spans="2:2" x14ac:dyDescent="0.25"/>
    <row r="658" ht="28.5" customHeight="1" spans="2:2" x14ac:dyDescent="0.25"/>
    <row r="659" ht="28.5" customHeight="1" spans="2:2" x14ac:dyDescent="0.25"/>
    <row r="660" ht="28.5" customHeight="1" spans="2:2" x14ac:dyDescent="0.25"/>
    <row r="661" ht="28.5" customHeight="1" spans="2:2" x14ac:dyDescent="0.25"/>
    <row r="662" ht="28.5" customHeight="1" spans="2:2" x14ac:dyDescent="0.25"/>
    <row r="663" ht="28.5" customHeight="1" spans="2:2" x14ac:dyDescent="0.25"/>
    <row r="664" ht="28.5" customHeight="1" spans="2:2" x14ac:dyDescent="0.25"/>
    <row r="665" ht="28.5" customHeight="1" spans="2:2" x14ac:dyDescent="0.25"/>
    <row r="666" ht="28.5" customHeight="1" spans="2:2" x14ac:dyDescent="0.25"/>
    <row r="667" ht="28.5" customHeight="1" spans="2:2" x14ac:dyDescent="0.25"/>
    <row r="668" ht="28.5" customHeight="1" spans="2:2" x14ac:dyDescent="0.25"/>
    <row r="669" ht="28.5" customHeight="1" spans="2:2" x14ac:dyDescent="0.25"/>
    <row r="670" ht="28.5" customHeight="1" spans="2:2" x14ac:dyDescent="0.25"/>
    <row r="671" ht="28.5" customHeight="1" spans="2:2" x14ac:dyDescent="0.25"/>
    <row r="672" ht="28.5" customHeight="1" spans="2:2" x14ac:dyDescent="0.25"/>
    <row r="673" ht="28.5" customHeight="1" spans="2:2" x14ac:dyDescent="0.25"/>
    <row r="674" ht="28.5" customHeight="1" spans="2:2" x14ac:dyDescent="0.25"/>
    <row r="675" ht="28.5" customHeight="1" spans="2:2" x14ac:dyDescent="0.25"/>
    <row r="676" ht="28.5" customHeight="1" spans="2:2" x14ac:dyDescent="0.25"/>
    <row r="677" ht="28.5" customHeight="1" spans="2:2" x14ac:dyDescent="0.25"/>
    <row r="678" ht="28.5" customHeight="1" spans="2:2" x14ac:dyDescent="0.25"/>
    <row r="679" ht="28.5" customHeight="1" spans="2:2" x14ac:dyDescent="0.25"/>
    <row r="680" ht="28.5" customHeight="1" spans="2:2" x14ac:dyDescent="0.25"/>
    <row r="681" ht="28.5" customHeight="1" spans="2:2" x14ac:dyDescent="0.25"/>
    <row r="682" ht="28.5" customHeight="1" spans="2:2" x14ac:dyDescent="0.25"/>
    <row r="683" ht="28.5" customHeight="1" spans="2:2" x14ac:dyDescent="0.25"/>
    <row r="684" ht="28.5" customHeight="1" spans="2:2" x14ac:dyDescent="0.25"/>
    <row r="685" ht="28.5" customHeight="1" spans="2:2" x14ac:dyDescent="0.25"/>
    <row r="686" ht="28.5" customHeight="1" spans="2:2" x14ac:dyDescent="0.25"/>
    <row r="687" ht="28.5" customHeight="1" spans="2:2" x14ac:dyDescent="0.25"/>
    <row r="688" ht="28.5" customHeight="1" spans="2:2" x14ac:dyDescent="0.25"/>
    <row r="689" ht="28.5" customHeight="1" spans="2:2" x14ac:dyDescent="0.25"/>
    <row r="690" ht="28.5" customHeight="1" spans="2:2" x14ac:dyDescent="0.25"/>
    <row r="691" ht="28.5" customHeight="1" spans="2:2" x14ac:dyDescent="0.25"/>
    <row r="692" ht="28.5" customHeight="1" spans="2:2" x14ac:dyDescent="0.25"/>
    <row r="693" ht="28.5" customHeight="1" spans="2:2" x14ac:dyDescent="0.25"/>
    <row r="694" ht="28.5" customHeight="1" spans="2:2" x14ac:dyDescent="0.25"/>
    <row r="695" ht="28.5" customHeight="1" spans="2:2" x14ac:dyDescent="0.25"/>
    <row r="696" ht="28.5" customHeight="1" spans="2:2" x14ac:dyDescent="0.25"/>
    <row r="697" ht="28.5" customHeight="1" spans="2:2" x14ac:dyDescent="0.25"/>
    <row r="698" ht="28.5" customHeight="1" spans="2:2" x14ac:dyDescent="0.25"/>
    <row r="699" ht="28.5" customHeight="1" spans="2:2" x14ac:dyDescent="0.25"/>
    <row r="700" ht="28.5" customHeight="1" spans="2:2" x14ac:dyDescent="0.25"/>
    <row r="701" ht="28.5" customHeight="1" spans="2:2" x14ac:dyDescent="0.25"/>
    <row r="702" ht="28.5" customHeight="1" spans="2:2" x14ac:dyDescent="0.25"/>
    <row r="703" ht="28.5" customHeight="1" spans="2:2" x14ac:dyDescent="0.25"/>
    <row r="704" ht="28.5" customHeight="1" spans="2:2" x14ac:dyDescent="0.25"/>
    <row r="705" ht="28.5" customHeight="1" spans="2:2" x14ac:dyDescent="0.25"/>
    <row r="706" ht="28.5" customHeight="1" spans="2:2" x14ac:dyDescent="0.25"/>
    <row r="707" ht="28.5" customHeight="1" spans="2:2" x14ac:dyDescent="0.25"/>
    <row r="708" ht="28.5" customHeight="1" spans="2:2" x14ac:dyDescent="0.25"/>
    <row r="709" ht="28.5" customHeight="1" spans="2:2" x14ac:dyDescent="0.25"/>
    <row r="710" ht="28.5" customHeight="1" spans="2:2" x14ac:dyDescent="0.25"/>
    <row r="711" ht="28.5" customHeight="1" spans="2:2" x14ac:dyDescent="0.25"/>
    <row r="712" ht="28.5" customHeight="1" spans="2:2" x14ac:dyDescent="0.25"/>
    <row r="713" ht="28.5" customHeight="1" spans="2:2" x14ac:dyDescent="0.25"/>
    <row r="714" ht="28.5" customHeight="1" spans="2:2" x14ac:dyDescent="0.25"/>
    <row r="715" ht="28.5" customHeight="1" spans="2:2" x14ac:dyDescent="0.25"/>
    <row r="716" ht="28.5" customHeight="1" spans="2:2" x14ac:dyDescent="0.25"/>
    <row r="717" ht="28.5" customHeight="1" spans="2:2" x14ac:dyDescent="0.25"/>
    <row r="718" ht="28.5" customHeight="1" spans="2:2" x14ac:dyDescent="0.25"/>
    <row r="719" ht="28.5" customHeight="1" spans="2:2" x14ac:dyDescent="0.25"/>
    <row r="720" ht="28.5" customHeight="1" spans="2:2" x14ac:dyDescent="0.25"/>
    <row r="721" ht="28.5" customHeight="1" spans="2:2" x14ac:dyDescent="0.25"/>
    <row r="722" ht="28.5" customHeight="1" spans="2:2" x14ac:dyDescent="0.25"/>
    <row r="723" ht="28.5" customHeight="1" spans="2:2" x14ac:dyDescent="0.25"/>
    <row r="724" ht="28.5" customHeight="1" spans="2:2" x14ac:dyDescent="0.25"/>
    <row r="725" ht="28.5" customHeight="1" spans="2:2" x14ac:dyDescent="0.25"/>
    <row r="726" ht="28.5" customHeight="1" spans="2:2" x14ac:dyDescent="0.25"/>
    <row r="727" ht="28.5" customHeight="1" spans="2:2" x14ac:dyDescent="0.25"/>
    <row r="728" ht="28.5" customHeight="1" spans="2:2" x14ac:dyDescent="0.25"/>
    <row r="729" ht="28.5" customHeight="1" spans="2:2" x14ac:dyDescent="0.25"/>
    <row r="730" ht="28.5" customHeight="1" spans="2:2" x14ac:dyDescent="0.25"/>
    <row r="731" ht="28.5" customHeight="1" spans="2:2" x14ac:dyDescent="0.25"/>
    <row r="732" ht="28.5" customHeight="1" spans="2:2" x14ac:dyDescent="0.25"/>
    <row r="733" ht="28.5" customHeight="1" spans="2:2" x14ac:dyDescent="0.25"/>
    <row r="734" ht="28.5" customHeight="1" spans="2:2" x14ac:dyDescent="0.25"/>
    <row r="735" ht="28.5" customHeight="1" spans="2:2" x14ac:dyDescent="0.25"/>
    <row r="736" ht="28.5" customHeight="1" spans="2:2" x14ac:dyDescent="0.25"/>
    <row r="737" ht="28.5" customHeight="1" spans="2:2" x14ac:dyDescent="0.25"/>
    <row r="738" ht="28.5" customHeight="1" spans="2:2" x14ac:dyDescent="0.25"/>
    <row r="739" ht="28.5" customHeight="1" spans="2:2" x14ac:dyDescent="0.25"/>
    <row r="740" ht="28.5" customHeight="1" spans="2:2" x14ac:dyDescent="0.25"/>
    <row r="741" ht="28.5" customHeight="1" spans="2:2" x14ac:dyDescent="0.25"/>
    <row r="742" ht="28.5" customHeight="1" spans="2:2" x14ac:dyDescent="0.25"/>
    <row r="743" ht="28.5" customHeight="1" spans="2:2" x14ac:dyDescent="0.25"/>
    <row r="744" ht="28.5" customHeight="1" spans="2:2" x14ac:dyDescent="0.25"/>
    <row r="745" ht="28.5" customHeight="1" spans="2:2" x14ac:dyDescent="0.25"/>
    <row r="746" ht="28.5" customHeight="1" spans="2:2" x14ac:dyDescent="0.25"/>
    <row r="747" ht="28.5" customHeight="1" spans="2:2" x14ac:dyDescent="0.25"/>
    <row r="748" ht="28.5" customHeight="1" spans="2:2" x14ac:dyDescent="0.25"/>
    <row r="749" ht="28.5" customHeight="1" spans="2:2" x14ac:dyDescent="0.25"/>
    <row r="750" ht="28.5" customHeight="1" spans="2:2" x14ac:dyDescent="0.25"/>
    <row r="751" ht="28.5" customHeight="1" spans="2:2" x14ac:dyDescent="0.25"/>
    <row r="752" ht="28.5" customHeight="1" spans="2:2" x14ac:dyDescent="0.25"/>
    <row r="753" ht="28.5" customHeight="1" spans="2:2" x14ac:dyDescent="0.25"/>
    <row r="754" ht="28.5" customHeight="1" spans="2:2" x14ac:dyDescent="0.25"/>
    <row r="755" ht="28.5" customHeight="1" spans="2:2" x14ac:dyDescent="0.25"/>
    <row r="756" ht="28.5" customHeight="1" spans="2:2" x14ac:dyDescent="0.25"/>
    <row r="757" ht="28.5" customHeight="1" spans="2:2" x14ac:dyDescent="0.25"/>
    <row r="758" ht="28.5" customHeight="1" spans="2:2" x14ac:dyDescent="0.25"/>
    <row r="759" ht="28.5" customHeight="1" spans="2:2" x14ac:dyDescent="0.25"/>
    <row r="760" ht="28.5" customHeight="1" spans="2:2" x14ac:dyDescent="0.25"/>
    <row r="761" ht="28.5" customHeight="1" spans="2:2" x14ac:dyDescent="0.25"/>
    <row r="762" ht="28.5" customHeight="1" spans="2:2" x14ac:dyDescent="0.25"/>
    <row r="763" ht="28.5" customHeight="1" spans="2:2" x14ac:dyDescent="0.25"/>
    <row r="764" ht="28.5" customHeight="1" spans="2:2" x14ac:dyDescent="0.25"/>
    <row r="765" ht="28.5" customHeight="1" spans="2:2" x14ac:dyDescent="0.25"/>
    <row r="766" ht="28.5" customHeight="1" spans="2:2" x14ac:dyDescent="0.25"/>
    <row r="767" ht="28.5" customHeight="1" spans="2:2" x14ac:dyDescent="0.25"/>
    <row r="768" ht="28.5" customHeight="1" spans="2:2" x14ac:dyDescent="0.25"/>
    <row r="769" ht="28.5" customHeight="1" spans="2:2" x14ac:dyDescent="0.25"/>
    <row r="770" ht="28.5" customHeight="1" spans="2:2" x14ac:dyDescent="0.25"/>
    <row r="771" ht="28.5" customHeight="1" spans="2:2" x14ac:dyDescent="0.25"/>
    <row r="772" ht="28.5" customHeight="1" spans="2:2" x14ac:dyDescent="0.25"/>
    <row r="773" ht="28.5" customHeight="1" spans="2:2" x14ac:dyDescent="0.25"/>
    <row r="774" ht="28.5" customHeight="1" spans="2:2" x14ac:dyDescent="0.25"/>
    <row r="775" ht="28.5" customHeight="1" spans="2:2" x14ac:dyDescent="0.25"/>
    <row r="776" ht="28.5" customHeight="1" spans="2:2" x14ac:dyDescent="0.25"/>
    <row r="777" ht="28.5" customHeight="1" spans="2:2" x14ac:dyDescent="0.25"/>
    <row r="778" ht="28.5" customHeight="1" spans="2:2" x14ac:dyDescent="0.25"/>
    <row r="779" ht="28.5" customHeight="1" spans="2:2" x14ac:dyDescent="0.25"/>
    <row r="780" ht="28.5" customHeight="1" spans="2:2" x14ac:dyDescent="0.25"/>
    <row r="781" ht="28.5" customHeight="1" spans="2:2" x14ac:dyDescent="0.25"/>
    <row r="782" ht="28.5" customHeight="1" spans="2:2" x14ac:dyDescent="0.25"/>
    <row r="783" ht="28.5" customHeight="1" spans="2:2" x14ac:dyDescent="0.25"/>
    <row r="784" ht="28.5" customHeight="1" spans="2:2" x14ac:dyDescent="0.25"/>
    <row r="785" ht="28.5" customHeight="1" spans="2:2" x14ac:dyDescent="0.25"/>
    <row r="786" ht="28.5" customHeight="1" spans="2:2" x14ac:dyDescent="0.25"/>
    <row r="787" ht="28.5" customHeight="1" spans="2:2" x14ac:dyDescent="0.25"/>
    <row r="788" ht="28.5" customHeight="1" spans="2:2" x14ac:dyDescent="0.25"/>
    <row r="789" ht="28.5" customHeight="1" spans="2:2" x14ac:dyDescent="0.25"/>
    <row r="790" ht="28.5" customHeight="1" spans="2:2" x14ac:dyDescent="0.25"/>
    <row r="791" ht="28.5" customHeight="1" spans="2:2" x14ac:dyDescent="0.25"/>
    <row r="792" ht="28.5" customHeight="1" spans="2:2" x14ac:dyDescent="0.25"/>
    <row r="793" ht="28.5" customHeight="1" spans="2:2" x14ac:dyDescent="0.25"/>
    <row r="794" ht="28.5" customHeight="1" spans="2:2" x14ac:dyDescent="0.25"/>
    <row r="795" ht="28.5" customHeight="1" spans="2:2" x14ac:dyDescent="0.25"/>
    <row r="796" ht="28.5" customHeight="1" spans="2:2" x14ac:dyDescent="0.25"/>
    <row r="797" ht="28.5" customHeight="1" spans="2:2" x14ac:dyDescent="0.25"/>
    <row r="798" ht="28.5" customHeight="1" spans="2:2" x14ac:dyDescent="0.25"/>
    <row r="799" ht="28.5" customHeight="1" spans="2:2" x14ac:dyDescent="0.25"/>
    <row r="800" ht="28.5" customHeight="1" spans="2:2" x14ac:dyDescent="0.25"/>
    <row r="801" ht="28.5" customHeight="1" spans="2:2" x14ac:dyDescent="0.25"/>
    <row r="802" ht="28.5" customHeight="1" spans="2:2" x14ac:dyDescent="0.25"/>
    <row r="803" ht="28.5" customHeight="1" spans="2:2" x14ac:dyDescent="0.25"/>
    <row r="804" ht="28.5" customHeight="1" spans="2:2" x14ac:dyDescent="0.25"/>
    <row r="805" ht="28.5" customHeight="1" spans="2:2" x14ac:dyDescent="0.25"/>
    <row r="806" ht="28.5" customHeight="1" spans="2:2" x14ac:dyDescent="0.25"/>
    <row r="807" ht="28.5" customHeight="1" spans="2:2" x14ac:dyDescent="0.25"/>
    <row r="808" ht="28.5" customHeight="1" spans="2:2" x14ac:dyDescent="0.25"/>
    <row r="809" ht="28.5" customHeight="1" spans="2:2" x14ac:dyDescent="0.25"/>
    <row r="810" ht="28.5" customHeight="1" spans="2:2" x14ac:dyDescent="0.25"/>
    <row r="811" ht="28.5" customHeight="1" spans="2:2" x14ac:dyDescent="0.25"/>
    <row r="812" ht="28.5" customHeight="1" spans="2:2" x14ac:dyDescent="0.25"/>
    <row r="813" ht="28.5" customHeight="1" spans="2:2" x14ac:dyDescent="0.25"/>
    <row r="814" ht="28.5" customHeight="1" spans="2:2" x14ac:dyDescent="0.25"/>
    <row r="815" ht="28.5" customHeight="1" spans="2:2" x14ac:dyDescent="0.25"/>
    <row r="816" ht="28.5" customHeight="1" spans="2:2" x14ac:dyDescent="0.25"/>
    <row r="817" ht="28.5" customHeight="1" spans="2:2" x14ac:dyDescent="0.25"/>
    <row r="818" ht="28.5" customHeight="1" spans="2:2" x14ac:dyDescent="0.25"/>
    <row r="819" ht="28.5" customHeight="1" spans="2:2" x14ac:dyDescent="0.25"/>
    <row r="820" ht="28.5" customHeight="1" spans="2:2" x14ac:dyDescent="0.25"/>
    <row r="821" ht="28.5" customHeight="1" spans="2:2" x14ac:dyDescent="0.25"/>
    <row r="822" ht="28.5" customHeight="1" spans="2:2" x14ac:dyDescent="0.25"/>
    <row r="823" ht="28.5" customHeight="1" spans="2:2" x14ac:dyDescent="0.25"/>
    <row r="824" ht="28.5" customHeight="1" spans="2:2" x14ac:dyDescent="0.25"/>
    <row r="825" ht="28.5" customHeight="1" spans="2:2" x14ac:dyDescent="0.25"/>
    <row r="826" ht="28.5" customHeight="1" spans="2:2" x14ac:dyDescent="0.25"/>
    <row r="827" ht="28.5" customHeight="1" spans="2:2" x14ac:dyDescent="0.25"/>
    <row r="828" ht="28.5" customHeight="1" spans="2:2" x14ac:dyDescent="0.25"/>
    <row r="829" ht="28.5" customHeight="1" spans="2:2" x14ac:dyDescent="0.25"/>
    <row r="830" ht="28.5" customHeight="1" spans="2:2" x14ac:dyDescent="0.25"/>
    <row r="831" ht="28.5" customHeight="1" spans="2:2" x14ac:dyDescent="0.25"/>
    <row r="832" ht="28.5" customHeight="1" spans="2:2" x14ac:dyDescent="0.25"/>
    <row r="833" ht="28.5" customHeight="1" spans="2:2" x14ac:dyDescent="0.25"/>
    <row r="834" ht="28.5" customHeight="1" spans="2:2" x14ac:dyDescent="0.25"/>
    <row r="835" ht="28.5" customHeight="1" spans="2:2" x14ac:dyDescent="0.25"/>
    <row r="836" ht="28.5" customHeight="1" spans="2:2" x14ac:dyDescent="0.25"/>
    <row r="837" ht="28.5" customHeight="1" spans="2:2" x14ac:dyDescent="0.25"/>
    <row r="838" ht="28.5" customHeight="1" spans="2:2" x14ac:dyDescent="0.25"/>
    <row r="839" ht="28.5" customHeight="1" spans="2:2" x14ac:dyDescent="0.25"/>
    <row r="840" ht="28.5" customHeight="1" spans="2:2" x14ac:dyDescent="0.25"/>
    <row r="841" ht="28.5" customHeight="1" spans="2:2" x14ac:dyDescent="0.25"/>
    <row r="842" ht="28.5" customHeight="1" spans="2:2" x14ac:dyDescent="0.25"/>
    <row r="843" ht="28.5" customHeight="1" spans="2:2" x14ac:dyDescent="0.25"/>
    <row r="844" ht="28.5" customHeight="1" spans="2:2" x14ac:dyDescent="0.25"/>
    <row r="845" ht="28.5" customHeight="1" spans="2:2" x14ac:dyDescent="0.25"/>
    <row r="846" ht="28.5" customHeight="1" spans="2:2" x14ac:dyDescent="0.25"/>
    <row r="847" ht="28.5" customHeight="1" spans="2:2" x14ac:dyDescent="0.25"/>
    <row r="848" ht="28.5" customHeight="1" spans="2:2" x14ac:dyDescent="0.25"/>
    <row r="849" ht="28.5" customHeight="1" spans="2:2" x14ac:dyDescent="0.25"/>
    <row r="850" ht="28.5" customHeight="1" spans="2:2" x14ac:dyDescent="0.25"/>
    <row r="851" ht="28.5" customHeight="1" spans="2:2" x14ac:dyDescent="0.25"/>
    <row r="852" ht="28.5" customHeight="1" spans="2:2" x14ac:dyDescent="0.25"/>
    <row r="853" ht="28.5" customHeight="1" spans="2:2" x14ac:dyDescent="0.25"/>
    <row r="854" ht="28.5" customHeight="1" spans="2:2" x14ac:dyDescent="0.25"/>
    <row r="855" ht="28.5" customHeight="1" spans="2:2" x14ac:dyDescent="0.25"/>
    <row r="856" ht="28.5" customHeight="1" spans="2:2" x14ac:dyDescent="0.25"/>
    <row r="857" ht="28.5" customHeight="1" spans="2:2" x14ac:dyDescent="0.25"/>
    <row r="858" ht="28.5" customHeight="1" spans="2:2" x14ac:dyDescent="0.25"/>
    <row r="859" ht="28.5" customHeight="1" spans="2:2" x14ac:dyDescent="0.25"/>
    <row r="860" ht="28.5" customHeight="1" spans="2:2" x14ac:dyDescent="0.25"/>
    <row r="861" ht="28.5" customHeight="1" spans="2:2" x14ac:dyDescent="0.25"/>
    <row r="862" ht="28.5" customHeight="1" spans="2:2" x14ac:dyDescent="0.25"/>
    <row r="863" ht="28.5" customHeight="1" spans="2:2" x14ac:dyDescent="0.25"/>
    <row r="864" ht="28.5" customHeight="1" spans="2:2" x14ac:dyDescent="0.25"/>
    <row r="865" ht="28.5" customHeight="1" spans="2:2" x14ac:dyDescent="0.25"/>
    <row r="866" ht="28.5" customHeight="1" spans="2:2" x14ac:dyDescent="0.25"/>
    <row r="867" ht="28.5" customHeight="1" spans="2:2" x14ac:dyDescent="0.25"/>
    <row r="868" ht="28.5" customHeight="1" spans="2:2" x14ac:dyDescent="0.25"/>
    <row r="869" ht="28.5" customHeight="1" spans="2:2" x14ac:dyDescent="0.25"/>
    <row r="870" ht="28.5" customHeight="1" spans="2:2" x14ac:dyDescent="0.25"/>
    <row r="871" ht="28.5" customHeight="1" spans="2:2" x14ac:dyDescent="0.25"/>
    <row r="872" ht="28.5" customHeight="1" spans="2:2" x14ac:dyDescent="0.25"/>
    <row r="873" ht="28.5" customHeight="1" spans="2:2" x14ac:dyDescent="0.25"/>
    <row r="874" ht="28.5" customHeight="1" spans="2:2" x14ac:dyDescent="0.25"/>
    <row r="875" ht="28.5" customHeight="1" spans="2:2" x14ac:dyDescent="0.25"/>
    <row r="876" ht="28.5" customHeight="1" spans="2:2" x14ac:dyDescent="0.25"/>
    <row r="877" ht="28.5" customHeight="1" spans="2:2" x14ac:dyDescent="0.25"/>
    <row r="878" ht="28.5" customHeight="1" spans="2:2" x14ac:dyDescent="0.25"/>
    <row r="879" ht="28.5" customHeight="1" spans="2:2" x14ac:dyDescent="0.25"/>
    <row r="880" ht="28.5" customHeight="1" spans="2:2" x14ac:dyDescent="0.25"/>
    <row r="881" ht="28.5" customHeight="1" spans="2:2" x14ac:dyDescent="0.25"/>
    <row r="882" ht="28.5" customHeight="1" spans="2:2" x14ac:dyDescent="0.25"/>
    <row r="883" ht="28.5" customHeight="1" spans="2:2" x14ac:dyDescent="0.25"/>
    <row r="884" ht="28.5" customHeight="1" spans="2:2" x14ac:dyDescent="0.25"/>
    <row r="885" ht="28.5" customHeight="1" spans="2:2" x14ac:dyDescent="0.25"/>
    <row r="886" ht="28.5" customHeight="1" spans="2:2" x14ac:dyDescent="0.25"/>
    <row r="887" ht="28.5" customHeight="1" spans="2:2" x14ac:dyDescent="0.25"/>
    <row r="888" ht="28.5" customHeight="1" spans="2:2" x14ac:dyDescent="0.25"/>
    <row r="889" ht="28.5" customHeight="1" spans="2:2" x14ac:dyDescent="0.25"/>
    <row r="890" ht="28.5" customHeight="1" spans="2:2" x14ac:dyDescent="0.25"/>
    <row r="891" ht="28.5" customHeight="1" spans="2:2" x14ac:dyDescent="0.25"/>
    <row r="892" ht="28.5" customHeight="1" spans="2:2" x14ac:dyDescent="0.25"/>
    <row r="893" ht="28.5" customHeight="1" spans="2:2" x14ac:dyDescent="0.25"/>
    <row r="894" ht="28.5" customHeight="1" spans="2:2" x14ac:dyDescent="0.25"/>
    <row r="895" ht="28.5" customHeight="1" spans="2:2" x14ac:dyDescent="0.25"/>
    <row r="896" ht="28.5" customHeight="1" spans="2:2" x14ac:dyDescent="0.25"/>
    <row r="897" ht="28.5" customHeight="1" spans="2:2" x14ac:dyDescent="0.25"/>
    <row r="898" ht="28.5" customHeight="1" spans="2:2" x14ac:dyDescent="0.25"/>
    <row r="899" ht="28.5" customHeight="1" spans="2:2" x14ac:dyDescent="0.25"/>
    <row r="900" ht="28.5" customHeight="1" spans="2:2" x14ac:dyDescent="0.25"/>
    <row r="901" ht="28.5" customHeight="1" spans="2:2" x14ac:dyDescent="0.25"/>
    <row r="902" ht="28.5" customHeight="1" spans="2:2" x14ac:dyDescent="0.25"/>
    <row r="903" ht="28.5" customHeight="1" spans="2:2" x14ac:dyDescent="0.25"/>
    <row r="904" ht="28.5" customHeight="1" spans="2:2" x14ac:dyDescent="0.25"/>
    <row r="905" ht="28.5" customHeight="1" spans="2:2" x14ac:dyDescent="0.25"/>
    <row r="906" ht="28.5" customHeight="1" spans="2:2" x14ac:dyDescent="0.25"/>
    <row r="907" ht="28.5" customHeight="1" spans="2:2" x14ac:dyDescent="0.25"/>
    <row r="908" ht="28.5" customHeight="1" spans="2:2" x14ac:dyDescent="0.25"/>
    <row r="909" ht="28.5" customHeight="1" spans="2:2" x14ac:dyDescent="0.25"/>
    <row r="910" ht="28.5" customHeight="1" spans="2:2" x14ac:dyDescent="0.25"/>
    <row r="911" ht="28.5" customHeight="1" spans="2:2" x14ac:dyDescent="0.25"/>
    <row r="912" ht="28.5" customHeight="1" spans="2:2" x14ac:dyDescent="0.25"/>
    <row r="913" ht="28.5" customHeight="1" spans="2:2" x14ac:dyDescent="0.25"/>
    <row r="914" ht="28.5" customHeight="1" spans="2:2" x14ac:dyDescent="0.25"/>
    <row r="915" ht="28.5" customHeight="1" spans="2:2" x14ac:dyDescent="0.25"/>
    <row r="916" ht="28.5" customHeight="1" spans="2:2" x14ac:dyDescent="0.25"/>
    <row r="917" ht="28.5" customHeight="1" spans="2:2" x14ac:dyDescent="0.25"/>
    <row r="918" ht="28.5" customHeight="1" spans="2:2" x14ac:dyDescent="0.25"/>
    <row r="919" ht="28.5" customHeight="1" spans="2:2" x14ac:dyDescent="0.25"/>
    <row r="920" ht="28.5" customHeight="1" spans="2:2" x14ac:dyDescent="0.25"/>
    <row r="921" ht="28.5" customHeight="1" spans="2:2" x14ac:dyDescent="0.25"/>
    <row r="922" ht="28.5" customHeight="1" spans="2:2" x14ac:dyDescent="0.25"/>
    <row r="923" ht="28.5" customHeight="1" spans="2:2" x14ac:dyDescent="0.25"/>
    <row r="924" ht="28.5" customHeight="1" spans="2:2" x14ac:dyDescent="0.25"/>
    <row r="925" ht="28.5" customHeight="1" spans="2:2" x14ac:dyDescent="0.25"/>
    <row r="926" ht="28.5" customHeight="1" spans="2:2" x14ac:dyDescent="0.25"/>
    <row r="927" ht="28.5" customHeight="1" spans="2:2" x14ac:dyDescent="0.25"/>
    <row r="928" ht="28.5" customHeight="1" spans="2:2" x14ac:dyDescent="0.25"/>
    <row r="929" ht="28.5" customHeight="1" spans="2:2" x14ac:dyDescent="0.25"/>
    <row r="930" ht="28.5" customHeight="1" spans="2:2" x14ac:dyDescent="0.25"/>
    <row r="931" ht="28.5" customHeight="1" spans="2:2" x14ac:dyDescent="0.25"/>
    <row r="932" ht="28.5" customHeight="1" spans="2:2" x14ac:dyDescent="0.25"/>
    <row r="933" ht="28.5" customHeight="1" spans="2:2" x14ac:dyDescent="0.25"/>
    <row r="934" ht="28.5" customHeight="1" spans="2:2" x14ac:dyDescent="0.25"/>
    <row r="935" ht="28.5" customHeight="1" spans="2:2" x14ac:dyDescent="0.25"/>
    <row r="936" ht="28.5" customHeight="1" spans="2:2" x14ac:dyDescent="0.25"/>
    <row r="937" ht="28.5" customHeight="1" spans="2:2" x14ac:dyDescent="0.25"/>
    <row r="938" ht="28.5" customHeight="1" spans="2:2" x14ac:dyDescent="0.25"/>
    <row r="939" ht="28.5" customHeight="1" spans="2:2" x14ac:dyDescent="0.25"/>
    <row r="940" ht="28.5" customHeight="1" spans="2:2" x14ac:dyDescent="0.25"/>
    <row r="941" ht="28.5" customHeight="1" spans="2:2" x14ac:dyDescent="0.25"/>
    <row r="942" ht="28.5" customHeight="1" spans="2:2" x14ac:dyDescent="0.25"/>
    <row r="943" ht="28.5" customHeight="1" spans="2:2" x14ac:dyDescent="0.25"/>
    <row r="944" ht="28.5" customHeight="1" spans="2:2" x14ac:dyDescent="0.25"/>
    <row r="945" ht="28.5" customHeight="1" spans="2:2" x14ac:dyDescent="0.25"/>
    <row r="946" ht="28.5" customHeight="1" spans="2:2" x14ac:dyDescent="0.25"/>
    <row r="947" ht="28.5" customHeight="1" spans="2:2" x14ac:dyDescent="0.25"/>
    <row r="948" ht="28.5" customHeight="1" spans="2:2" x14ac:dyDescent="0.25"/>
    <row r="949" ht="28.5" customHeight="1" spans="2:2" x14ac:dyDescent="0.25"/>
    <row r="950" ht="28.5" customHeight="1" spans="2:2" x14ac:dyDescent="0.25"/>
    <row r="951" ht="28.5" customHeight="1" spans="2:2" x14ac:dyDescent="0.25"/>
    <row r="952" ht="28.5" customHeight="1" spans="2:2" x14ac:dyDescent="0.25"/>
    <row r="953" ht="28.5" customHeight="1" spans="2:2" x14ac:dyDescent="0.25"/>
    <row r="954" ht="28.5" customHeight="1" spans="2:2" x14ac:dyDescent="0.25"/>
    <row r="955" ht="28.5" customHeight="1" spans="2:2" x14ac:dyDescent="0.25"/>
    <row r="956" ht="28.5" customHeight="1" spans="2:2" x14ac:dyDescent="0.25"/>
    <row r="957" ht="28.5" customHeight="1" spans="2:2" x14ac:dyDescent="0.25"/>
    <row r="958" ht="28.5" customHeight="1" spans="2:2" x14ac:dyDescent="0.25"/>
    <row r="959" ht="28.5" customHeight="1" spans="2:2" x14ac:dyDescent="0.25"/>
    <row r="960" ht="28.5" customHeight="1" spans="2:2" x14ac:dyDescent="0.25"/>
    <row r="961" ht="28.5" customHeight="1" spans="2:2" x14ac:dyDescent="0.25"/>
    <row r="962" ht="28.5" customHeight="1" spans="2:2" x14ac:dyDescent="0.25"/>
    <row r="963" ht="28.5" customHeight="1" spans="2:2" x14ac:dyDescent="0.25"/>
    <row r="964" ht="28.5" customHeight="1" spans="2:2" x14ac:dyDescent="0.25"/>
    <row r="965" ht="28.5" customHeight="1" spans="2:2" x14ac:dyDescent="0.25"/>
    <row r="966" ht="28.5" customHeight="1" spans="2:2" x14ac:dyDescent="0.25"/>
    <row r="967" ht="28.5" customHeight="1" spans="2:2" x14ac:dyDescent="0.25"/>
    <row r="968" ht="28.5" customHeight="1" spans="2:2" x14ac:dyDescent="0.25"/>
    <row r="969" ht="28.5" customHeight="1" spans="2:2" x14ac:dyDescent="0.25"/>
    <row r="970" ht="28.5" customHeight="1" spans="2:2" x14ac:dyDescent="0.25"/>
    <row r="971" ht="28.5" customHeight="1" spans="2:2" x14ac:dyDescent="0.25"/>
    <row r="972" ht="28.5" customHeight="1" spans="2:2" x14ac:dyDescent="0.25"/>
    <row r="973" ht="28.5" customHeight="1" spans="2:2" x14ac:dyDescent="0.25"/>
    <row r="974" ht="28.5" customHeight="1" spans="2:2" x14ac:dyDescent="0.25"/>
    <row r="975" ht="28.5" customHeight="1" spans="2:2" x14ac:dyDescent="0.25"/>
    <row r="976" ht="28.5" customHeight="1" spans="2:2" x14ac:dyDescent="0.25"/>
    <row r="977" ht="28.5" customHeight="1" spans="2:2" x14ac:dyDescent="0.25"/>
    <row r="978" ht="28.5" customHeight="1" spans="2:2" x14ac:dyDescent="0.25"/>
    <row r="979" ht="28.5" customHeight="1" spans="2:2" x14ac:dyDescent="0.25"/>
    <row r="980" ht="28.5" customHeight="1" spans="2:2" x14ac:dyDescent="0.25"/>
    <row r="981" ht="28.5" customHeight="1" spans="2:2" x14ac:dyDescent="0.25"/>
    <row r="982" ht="28.5" customHeight="1" spans="2:2" x14ac:dyDescent="0.25"/>
    <row r="983" ht="28.5" customHeight="1" spans="2:2" x14ac:dyDescent="0.25"/>
    <row r="984" ht="28.5" customHeight="1" spans="2:2" x14ac:dyDescent="0.25"/>
    <row r="985" ht="28.5" customHeight="1" spans="2:2" x14ac:dyDescent="0.25"/>
    <row r="986" ht="28.5" customHeight="1" spans="2:2" x14ac:dyDescent="0.25"/>
    <row r="987" ht="28.5" customHeight="1" spans="2:2" x14ac:dyDescent="0.25"/>
    <row r="988" ht="28.5" customHeight="1" spans="2:2" x14ac:dyDescent="0.25"/>
    <row r="989" ht="28.5" customHeight="1" spans="2:2" x14ac:dyDescent="0.25"/>
    <row r="990" ht="28.5" customHeight="1" spans="2:2" x14ac:dyDescent="0.25"/>
    <row r="991" ht="28.5" customHeight="1" spans="2:2" x14ac:dyDescent="0.25"/>
    <row r="992" ht="28.5" customHeight="1" spans="2:2" x14ac:dyDescent="0.25"/>
    <row r="993" ht="28.5" customHeight="1" spans="2:2" x14ac:dyDescent="0.25"/>
    <row r="994" ht="28.5" customHeight="1" spans="2:2" x14ac:dyDescent="0.25"/>
    <row r="995" ht="28.5" customHeight="1" spans="2:2" x14ac:dyDescent="0.25"/>
    <row r="996" ht="28.5" customHeight="1" spans="2:2" x14ac:dyDescent="0.25"/>
    <row r="997" ht="28.5" customHeight="1" spans="2:2" x14ac:dyDescent="0.25"/>
    <row r="998" ht="28.5" customHeight="1" spans="2:2" x14ac:dyDescent="0.25"/>
    <row r="999" ht="28.5" customHeight="1" spans="2:2" x14ac:dyDescent="0.25"/>
    <row r="1000" ht="28.5" customHeight="1" spans="2:2" x14ac:dyDescent="0.25"/>
    <row r="1001" spans="1:11" x14ac:dyDescent="0.25">
      <c r="A1001" t="s">
        <v>13</v>
      </c>
      <c r="B1001" t="s">
        <v>143</v>
      </c>
      <c r="E1001" t="s">
        <v>144</v>
      </c>
      <c r="I1001" t="s">
        <v>9</v>
      </c>
      <c r="J1001" t="s">
        <v>3</v>
      </c>
      <c r="K1001" t="s">
        <v>70</v>
      </c>
    </row>
    <row r="1002" spans="1:11" x14ac:dyDescent="0.25">
      <c r="A1002" t="s">
        <v>13</v>
      </c>
      <c r="B1002" t="s">
        <v>145</v>
      </c>
      <c r="E1002" t="s">
        <v>146</v>
      </c>
      <c r="I1002" t="s">
        <v>9</v>
      </c>
      <c r="J1002" t="s">
        <v>3</v>
      </c>
      <c r="K1002" t="s">
        <v>70</v>
      </c>
    </row>
    <row r="1003" spans="1:11" x14ac:dyDescent="0.25">
      <c r="A1003" t="s">
        <v>15</v>
      </c>
      <c r="B1003" t="s">
        <v>147</v>
      </c>
      <c r="E1003" t="s">
        <v>148</v>
      </c>
      <c r="I1003" t="s">
        <v>9</v>
      </c>
      <c r="J1003" t="s">
        <v>3</v>
      </c>
      <c r="K1003" t="s">
        <v>129</v>
      </c>
    </row>
    <row r="1004" spans="1:11" x14ac:dyDescent="0.25">
      <c r="A1004" t="s">
        <v>15</v>
      </c>
      <c r="B1004" t="s">
        <v>149</v>
      </c>
      <c r="E1004" t="s">
        <v>150</v>
      </c>
      <c r="I1004" t="s">
        <v>9</v>
      </c>
      <c r="J1004" t="s">
        <v>3</v>
      </c>
      <c r="K1004" t="s">
        <v>129</v>
      </c>
    </row>
    <row r="1005" spans="1:11" x14ac:dyDescent="0.25">
      <c r="A1005" t="s">
        <v>15</v>
      </c>
      <c r="B1005" t="s">
        <v>151</v>
      </c>
      <c r="E1005" t="s">
        <v>152</v>
      </c>
      <c r="I1005" t="s">
        <v>9</v>
      </c>
      <c r="J1005" t="s">
        <v>3</v>
      </c>
      <c r="K1005" t="s">
        <v>129</v>
      </c>
    </row>
    <row r="1006" spans="1:11" x14ac:dyDescent="0.25">
      <c r="A1006" t="s">
        <v>15</v>
      </c>
      <c r="B1006" t="s">
        <v>153</v>
      </c>
      <c r="E1006" t="s">
        <v>154</v>
      </c>
      <c r="I1006" t="s">
        <v>9</v>
      </c>
      <c r="J1006" t="s">
        <v>3</v>
      </c>
      <c r="K1006" t="s">
        <v>129</v>
      </c>
    </row>
  </sheetData>
  <mergeCells count="2">
    <mergeCell ref="A1:H1"/>
    <mergeCell ref="A48:H48"/>
  </mergeCells>
  <conditionalFormatting sqref="F3:F46">
    <cfRule type="expression" dxfId="0" priority="1">
      <formula>$F3="Automated"</formula>
    </cfRule>
  </conditionalFormatting>
  <conditionalFormatting sqref="F3:F46">
    <cfRule type="expression" dxfId="1" priority="2">
      <formula>$F3="Needs Review"</formula>
    </cfRule>
  </conditionalFormatting>
  <conditionalFormatting sqref="F3:F46">
    <cfRule type="expression" dxfId="2" priority="3">
      <formula>$F3="Blocked"</formula>
    </cfRule>
  </conditionalFormatting>
  <dataValidations count="2">
    <dataValidation type="list" allowBlank="1" sqref="F10:F46">
      <formula1>"Automated,Needs Review,Blocked"</formula1>
    </dataValidation>
    <dataValidation type="list" allowBlank="1" sqref="F3:F46">
      <formula1>"Automated,Needs Review,Blocked"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449"/>
  </sheetPr>
  <dimension ref="A1:I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34.43" customWidth="1"/>
    <col min="2" max="2" width="23.29" customWidth="1"/>
    <col min="3" max="3" width="48" customWidth="1"/>
    <col min="4" max="26" width="34.43" customWidth="1"/>
  </cols>
  <sheetData>
    <row r="1" ht="23.25" customHeight="1" spans="1:9" x14ac:dyDescent="0.25">
      <c r="A1" s="36" t="s">
        <v>155</v>
      </c>
      <c r="B1"/>
      <c r="C1"/>
      <c r="D1"/>
      <c r="E1" s="1"/>
      <c r="F1" s="1"/>
      <c r="G1" s="1"/>
      <c r="H1" s="1"/>
      <c r="I1" s="1"/>
    </row>
    <row r="2" ht="23.25" customHeight="1" spans="1:9" x14ac:dyDescent="0.25">
      <c r="A2" s="16" t="s">
        <v>21</v>
      </c>
      <c r="B2" s="16" t="s">
        <v>156</v>
      </c>
      <c r="C2" s="16" t="s">
        <v>157</v>
      </c>
      <c r="D2" s="16" t="s">
        <v>158</v>
      </c>
      <c r="E2" s="1"/>
      <c r="F2" s="1"/>
      <c r="G2" s="1"/>
      <c r="H2" s="1"/>
      <c r="I2" s="1"/>
    </row>
    <row r="3" ht="23.25" customHeight="1" spans="1:9" x14ac:dyDescent="0.25">
      <c r="A3" s="52" t="s">
        <v>64</v>
      </c>
      <c r="B3" s="53">
        <f>COUNTIF('Test Case Detail'!$C$3:$C$46,A3)</f>
        <v>6</v>
      </c>
      <c r="C3" s="54" t="str">
        <f>IFERROR(__xludf.DUMMYFUNCTION("IFERROR(TEXTJOIN("", "",TRUE,UNIQUE(FILTER('Test Case Detail'!$A$3:$A$46,'Test Case Detail'!$C$3:$C$46=A3))),"""")"),"Audience, Campaign, Dashboard, Settings, Workflow")</f>
        <v>Audience, Campaign, Dashboard, Settings, Workflow</v>
      </c>
      <c r="D3" s="40" t="str">
        <f t="shared" ref="D3:D22" si="0">IF(B3&gt;=0.6*MAX($B$3:$B$22),"Core",IF(B3&gt;=0.3*MAX($B$3:$B$22),"Standard","Supplemental"))</f>
        <v>Core</v>
      </c>
      <c r="E3" s="1"/>
      <c r="F3" s="1"/>
      <c r="G3" s="1"/>
      <c r="H3" s="1"/>
      <c r="I3" s="1"/>
    </row>
    <row r="4" ht="23.25" customHeight="1" spans="1:9" x14ac:dyDescent="0.25">
      <c r="A4" s="55" t="s">
        <v>27</v>
      </c>
      <c r="B4" s="56">
        <f>COUNTIF('Test Case Detail'!$C$3:$C$46,A4)</f>
        <v>4</v>
      </c>
      <c r="C4" s="57" t="str">
        <f>IFERROR(__xludf.DUMMYFUNCTION("IFERROR(TEXTJOIN("", "",TRUE,UNIQUE(FILTER('Test Case Detail'!$A$3:$A$46,'Test Case Detail'!$C$3:$C$46=A4))),"""")"),"Audience, Campaign")</f>
        <v>Audience, Campaign</v>
      </c>
      <c r="D4" s="40" t="str">
        <f t="shared" si="0"/>
        <v>Core</v>
      </c>
      <c r="E4" s="1"/>
      <c r="F4" s="1"/>
      <c r="G4" s="1"/>
      <c r="H4" s="1"/>
      <c r="I4" s="1"/>
    </row>
    <row r="5" ht="23.25" customHeight="1" spans="1:9" x14ac:dyDescent="0.25">
      <c r="A5" s="52" t="s">
        <v>38</v>
      </c>
      <c r="B5" s="53">
        <f>COUNTIF('Test Case Detail'!$C$3:$C$46,A5)</f>
        <v>4</v>
      </c>
      <c r="C5" s="54" t="str">
        <f>IFERROR(__xludf.DUMMYFUNCTION("IFERROR(TEXTJOIN("", "",TRUE,UNIQUE(FILTER('Test Case Detail'!$A$3:$A$46,'Test Case Detail'!$C$3:$C$46=A5))),"""")"),"Audience, Campaign, Workflow")</f>
        <v>Audience, Campaign, Workflow</v>
      </c>
      <c r="D5" s="40" t="str">
        <f t="shared" si="0"/>
        <v>Core</v>
      </c>
      <c r="E5" s="1"/>
      <c r="F5" s="1"/>
      <c r="G5" s="1"/>
      <c r="H5" s="1"/>
      <c r="I5" s="1"/>
    </row>
    <row r="6" ht="23.25" customHeight="1" spans="1:9" x14ac:dyDescent="0.25">
      <c r="A6" s="55" t="s">
        <v>46</v>
      </c>
      <c r="B6" s="56">
        <f>COUNTIF('Test Case Detail'!$C$3:$C$46,A6)</f>
        <v>4</v>
      </c>
      <c r="C6" s="57" t="str">
        <f>IFERROR(__xludf.DUMMYFUNCTION("IFERROR(TEXTJOIN("", "",TRUE,UNIQUE(FILTER('Test Case Detail'!$A$3:$A$46,'Test Case Detail'!$C$3:$C$46=A6))),"""")"),"Audience, Campaign")</f>
        <v>Audience, Campaign</v>
      </c>
      <c r="D6" s="40" t="str">
        <f t="shared" si="0"/>
        <v>Core</v>
      </c>
      <c r="E6" s="1"/>
      <c r="F6" s="1"/>
      <c r="G6" s="1"/>
      <c r="H6" s="1"/>
      <c r="I6" s="1"/>
    </row>
    <row r="7" ht="23.25" customHeight="1" spans="1:9" x14ac:dyDescent="0.25">
      <c r="A7" s="52" t="s">
        <v>59</v>
      </c>
      <c r="B7" s="53">
        <f>COUNTIF('Test Case Detail'!$C$3:$C$46,A7)</f>
        <v>4</v>
      </c>
      <c r="C7" s="54" t="str">
        <f>IFERROR(__xludf.DUMMYFUNCTION("IFERROR(TEXTJOIN("", "",TRUE,UNIQUE(FILTER('Test Case Detail'!$A$3:$A$46,'Test Case Detail'!$C$3:$C$46=A7))),"""")"),"Audience, Campaign, Workflow")</f>
        <v>Audience, Campaign, Workflow</v>
      </c>
      <c r="D7" s="40" t="str">
        <f t="shared" si="0"/>
        <v>Core</v>
      </c>
      <c r="E7" s="1"/>
      <c r="F7" s="1"/>
      <c r="G7" s="1"/>
      <c r="H7" s="1"/>
      <c r="I7" s="1"/>
    </row>
    <row r="8" ht="23.25" customHeight="1" spans="1:9" x14ac:dyDescent="0.25">
      <c r="A8" s="55" t="s">
        <v>93</v>
      </c>
      <c r="B8" s="56">
        <f>COUNTIF('Test Case Detail'!$C$3:$C$46,A8)</f>
        <v>4</v>
      </c>
      <c r="C8" s="57" t="str">
        <f>IFERROR(__xludf.DUMMYFUNCTION("IFERROR(TEXTJOIN("", "",TRUE,UNIQUE(FILTER('Test Case Detail'!$A$3:$A$46,'Test Case Detail'!$C$3:$C$46=A8))),"""")"),"Campaign")</f>
        <v>Campaign</v>
      </c>
      <c r="D8" s="40" t="str">
        <f t="shared" si="0"/>
        <v>Core</v>
      </c>
      <c r="E8" s="1"/>
      <c r="F8" s="1"/>
      <c r="G8" s="1"/>
      <c r="H8" s="1"/>
      <c r="I8" s="1"/>
    </row>
    <row r="9" ht="23.25" customHeight="1" spans="1:9" x14ac:dyDescent="0.25">
      <c r="A9" s="52" t="s">
        <v>32</v>
      </c>
      <c r="B9" s="53">
        <f>COUNTIF('Test Case Detail'!$C$3:$C$46,A9)</f>
        <v>2</v>
      </c>
      <c r="C9" s="54" t="str">
        <f>IFERROR(__xludf.DUMMYFUNCTION("IFERROR(TEXTJOIN("", "",TRUE,UNIQUE(FILTER('Test Case Detail'!$A$3:$A$46,'Test Case Detail'!$C$3:$C$46=A9))),"""")"),"Audience, Campaign")</f>
        <v>Audience, Campaign</v>
      </c>
      <c r="D9" s="58" t="str">
        <f t="shared" si="0"/>
        <v>Standard</v>
      </c>
      <c r="E9" s="1"/>
      <c r="F9" s="1"/>
      <c r="G9" s="1"/>
      <c r="H9" s="1"/>
      <c r="I9" s="1"/>
    </row>
    <row r="10" ht="23.25" customHeight="1" spans="1:9" x14ac:dyDescent="0.25">
      <c r="A10" s="55" t="s">
        <v>41</v>
      </c>
      <c r="B10" s="56">
        <f>COUNTIF('Test Case Detail'!$C$3:$C$46,A10)</f>
        <v>2</v>
      </c>
      <c r="C10" s="57" t="str">
        <f>IFERROR(__xludf.DUMMYFUNCTION("IFERROR(TEXTJOIN("", "",TRUE,UNIQUE(FILTER('Test Case Detail'!$A$3:$A$46,'Test Case Detail'!$C$3:$C$46=A10))),"""")"),"Audience")</f>
        <v>Audience</v>
      </c>
      <c r="D10" s="58" t="str">
        <f t="shared" si="0"/>
        <v>Standard</v>
      </c>
      <c r="E10" s="1"/>
      <c r="F10" s="1"/>
      <c r="G10" s="1"/>
      <c r="H10" s="1"/>
      <c r="I10" s="1"/>
    </row>
    <row r="11" ht="23.25" customHeight="1" spans="1:9" x14ac:dyDescent="0.25">
      <c r="A11" s="52" t="s">
        <v>49</v>
      </c>
      <c r="B11" s="53">
        <f>COUNTIF('Test Case Detail'!$C$3:$C$46,A11)</f>
        <v>2</v>
      </c>
      <c r="C11" s="54" t="str">
        <f>IFERROR(__xludf.DUMMYFUNCTION("IFERROR(TEXTJOIN("", "",TRUE,UNIQUE(FILTER('Test Case Detail'!$A$3:$A$46,'Test Case Detail'!$C$3:$C$46=A11))),"""")"),"Audience, Campaign")</f>
        <v>Audience, Campaign</v>
      </c>
      <c r="D11" s="58" t="str">
        <f t="shared" si="0"/>
        <v>Standard</v>
      </c>
      <c r="E11" s="1"/>
      <c r="F11" s="1"/>
      <c r="G11" s="1"/>
      <c r="H11" s="1"/>
      <c r="I11" s="1"/>
    </row>
    <row r="12" ht="23.25" customHeight="1" spans="1:9" x14ac:dyDescent="0.25">
      <c r="A12" s="55" t="s">
        <v>118</v>
      </c>
      <c r="B12" s="56">
        <f>COUNTIF('Test Case Detail'!$C$3:$C$46,A12)</f>
        <v>2</v>
      </c>
      <c r="C12" s="57" t="str">
        <f>IFERROR(__xludf.DUMMYFUNCTION("IFERROR(TEXTJOIN("", "",TRUE,UNIQUE(FILTER('Test Case Detail'!$A$3:$A$46,'Test Case Detail'!$C$3:$C$46=A12))),"""")"),"Campaign, Dashboard")</f>
        <v>Campaign, Dashboard</v>
      </c>
      <c r="D12" s="58" t="str">
        <f t="shared" si="0"/>
        <v>Standard</v>
      </c>
      <c r="E12" s="1"/>
      <c r="F12" s="1"/>
      <c r="G12" s="1"/>
      <c r="H12" s="1"/>
      <c r="I12" s="1"/>
    </row>
    <row r="13" ht="23.25" customHeight="1" spans="1:9" x14ac:dyDescent="0.25">
      <c r="A13" s="52" t="s">
        <v>35</v>
      </c>
      <c r="B13" s="53">
        <f>COUNTIF('Test Case Detail'!$C$3:$C$46,A13)</f>
        <v>1</v>
      </c>
      <c r="C13" s="54" t="str">
        <f>IFERROR(__xludf.DUMMYFUNCTION("IFERROR(TEXTJOIN("", "",TRUE,UNIQUE(FILTER('Test Case Detail'!$A$3:$A$46,'Test Case Detail'!$C$3:$C$46=A13))),"""")"),"Audience")</f>
        <v>Audience</v>
      </c>
      <c r="D13" s="59" t="str">
        <f t="shared" si="0"/>
        <v>Supplemental</v>
      </c>
      <c r="E13" s="1"/>
      <c r="F13" s="1"/>
      <c r="G13" s="1"/>
      <c r="H13" s="1"/>
      <c r="I13" s="1"/>
    </row>
    <row r="14" ht="23.25" customHeight="1" spans="1:9" x14ac:dyDescent="0.25">
      <c r="A14" s="55" t="s">
        <v>56</v>
      </c>
      <c r="B14" s="56">
        <f>COUNTIF('Test Case Detail'!$C$3:$C$46,A14)</f>
        <v>1</v>
      </c>
      <c r="C14" s="57" t="str">
        <f>IFERROR(__xludf.DUMMYFUNCTION("IFERROR(TEXTJOIN("", "",TRUE,UNIQUE(FILTER('Test Case Detail'!$A$3:$A$46,'Test Case Detail'!$C$3:$C$46=A14))),"""")"),"Audience")</f>
        <v>Audience</v>
      </c>
      <c r="D14" s="59" t="str">
        <f t="shared" si="0"/>
        <v>Supplemental</v>
      </c>
      <c r="E14" s="1"/>
      <c r="F14" s="1"/>
      <c r="G14" s="1"/>
      <c r="H14" s="1"/>
      <c r="I14" s="1"/>
    </row>
    <row r="15" ht="23.25" customHeight="1" spans="1:9" x14ac:dyDescent="0.25">
      <c r="A15" s="52" t="s">
        <v>73</v>
      </c>
      <c r="B15" s="53">
        <f>COUNTIF('Test Case Detail'!$C$3:$C$46,A15)</f>
        <v>1</v>
      </c>
      <c r="C15" s="54" t="str">
        <f>IFERROR(__xludf.DUMMYFUNCTION("IFERROR(TEXTJOIN("", "",TRUE,UNIQUE(FILTER('Test Case Detail'!$A$3:$A$46,'Test Case Detail'!$C$3:$C$46=A15))),"""")"),"Campaign")</f>
        <v>Campaign</v>
      </c>
      <c r="D15" s="59" t="str">
        <f t="shared" si="0"/>
        <v>Supplemental</v>
      </c>
      <c r="E15" s="1"/>
      <c r="F15" s="1"/>
      <c r="G15" s="1"/>
      <c r="H15" s="1"/>
      <c r="I15" s="1"/>
    </row>
    <row r="16" ht="23.25" customHeight="1" spans="1:9" x14ac:dyDescent="0.25">
      <c r="A16" s="55" t="s">
        <v>76</v>
      </c>
      <c r="B16" s="56">
        <f>COUNTIF('Test Case Detail'!$C$3:$C$46,A16)</f>
        <v>1</v>
      </c>
      <c r="C16" s="57" t="str">
        <f>IFERROR(__xludf.DUMMYFUNCTION("IFERROR(TEXTJOIN("", "",TRUE,UNIQUE(FILTER('Test Case Detail'!$A$3:$A$46,'Test Case Detail'!$C$3:$C$46=A16))),"""")"),"Campaign")</f>
        <v>Campaign</v>
      </c>
      <c r="D16" s="59" t="str">
        <f t="shared" si="0"/>
        <v>Supplemental</v>
      </c>
      <c r="E16" s="1"/>
      <c r="F16" s="1"/>
      <c r="G16" s="1"/>
      <c r="H16" s="1"/>
      <c r="I16" s="1"/>
    </row>
    <row r="17" ht="23.25" customHeight="1" spans="1:9" x14ac:dyDescent="0.25">
      <c r="A17" s="52" t="s">
        <v>83</v>
      </c>
      <c r="B17" s="53">
        <f>COUNTIF('Test Case Detail'!$C$3:$C$46,A17)</f>
        <v>1</v>
      </c>
      <c r="C17" s="54" t="str">
        <f>IFERROR(__xludf.DUMMYFUNCTION("IFERROR(TEXTJOIN("", "",TRUE,UNIQUE(FILTER('Test Case Detail'!$A$3:$A$46,'Test Case Detail'!$C$3:$C$46=A17))),"""")"),"Campaign")</f>
        <v>Campaign</v>
      </c>
      <c r="D17" s="59" t="str">
        <f t="shared" si="0"/>
        <v>Supplemental</v>
      </c>
      <c r="E17" s="1"/>
      <c r="F17" s="1"/>
      <c r="G17" s="1"/>
      <c r="H17" s="1"/>
      <c r="I17" s="1"/>
    </row>
    <row r="18" ht="23.25" customHeight="1" spans="1:9" x14ac:dyDescent="0.25">
      <c r="A18" s="55" t="s">
        <v>86</v>
      </c>
      <c r="B18" s="56">
        <f>COUNTIF('Test Case Detail'!$C$3:$C$46,A18)</f>
        <v>1</v>
      </c>
      <c r="C18" s="57" t="str">
        <f>IFERROR(__xludf.DUMMYFUNCTION("IFERROR(TEXTJOIN("", "",TRUE,UNIQUE(FILTER('Test Case Detail'!$A$3:$A$46,'Test Case Detail'!$C$3:$C$46=A18))),"""")"),"Campaign")</f>
        <v>Campaign</v>
      </c>
      <c r="D18" s="59" t="str">
        <f t="shared" si="0"/>
        <v>Supplemental</v>
      </c>
      <c r="E18" s="1"/>
      <c r="F18" s="1"/>
      <c r="G18" s="1"/>
      <c r="H18" s="1"/>
      <c r="I18" s="1"/>
    </row>
    <row r="19" ht="23.25" customHeight="1" spans="1:9" x14ac:dyDescent="0.25">
      <c r="A19" s="52" t="s">
        <v>112</v>
      </c>
      <c r="B19" s="53">
        <f>COUNTIF('Test Case Detail'!$C$3:$C$46,A19)</f>
        <v>1</v>
      </c>
      <c r="C19" s="54" t="str">
        <f>IFERROR(__xludf.DUMMYFUNCTION("IFERROR(TEXTJOIN("", "",TRUE,UNIQUE(FILTER('Test Case Detail'!$A$3:$A$46,'Test Case Detail'!$C$3:$C$46=A19))),"""")"),"Campaign")</f>
        <v>Campaign</v>
      </c>
      <c r="D19" s="59" t="str">
        <f t="shared" si="0"/>
        <v>Supplemental</v>
      </c>
      <c r="E19" s="1"/>
      <c r="F19" s="1"/>
      <c r="G19" s="1"/>
      <c r="H19" s="1"/>
      <c r="I19" s="1"/>
    </row>
    <row r="20" ht="23.25" customHeight="1" spans="1:9" x14ac:dyDescent="0.25">
      <c r="A20" s="55" t="s">
        <v>115</v>
      </c>
      <c r="B20" s="56">
        <f>COUNTIF('Test Case Detail'!$C$3:$C$46,A20)</f>
        <v>1</v>
      </c>
      <c r="C20" s="57" t="str">
        <f>IFERROR(__xludf.DUMMYFUNCTION("IFERROR(TEXTJOIN("", "",TRUE,UNIQUE(FILTER('Test Case Detail'!$A$3:$A$46,'Test Case Detail'!$C$3:$C$46=A20))),"""")"),"Campaign")</f>
        <v>Campaign</v>
      </c>
      <c r="D20" s="59" t="str">
        <f t="shared" si="0"/>
        <v>Supplemental</v>
      </c>
      <c r="E20" s="1"/>
      <c r="F20" s="1"/>
      <c r="G20" s="1"/>
      <c r="H20" s="1"/>
      <c r="I20" s="1"/>
    </row>
    <row r="21" ht="23.25" customHeight="1" spans="1:9" x14ac:dyDescent="0.25">
      <c r="A21" s="52" t="s">
        <v>121</v>
      </c>
      <c r="B21" s="53">
        <f>COUNTIF('Test Case Detail'!$C$3:$C$46,A21)</f>
        <v>1</v>
      </c>
      <c r="C21" s="54" t="str">
        <f>IFERROR(__xludf.DUMMYFUNCTION("IFERROR(TEXTJOIN("", "",TRUE,UNIQUE(FILTER('Test Case Detail'!$A$3:$A$46,'Test Case Detail'!$C$3:$C$46=A21))),"""")"),"Campaign")</f>
        <v>Campaign</v>
      </c>
      <c r="D21" s="59" t="str">
        <f t="shared" si="0"/>
        <v>Supplemental</v>
      </c>
      <c r="E21" s="1"/>
      <c r="F21" s="1"/>
      <c r="G21" s="1"/>
      <c r="H21" s="1"/>
      <c r="I21" s="1"/>
    </row>
    <row r="22" ht="23.25" customHeight="1" spans="1:9" x14ac:dyDescent="0.25">
      <c r="A22" s="55" t="s">
        <v>124</v>
      </c>
      <c r="B22" s="56">
        <f>COUNTIF('Test Case Detail'!$C$3:$C$46,A22)</f>
        <v>1</v>
      </c>
      <c r="C22" s="57" t="str">
        <f>IFERROR(__xludf.DUMMYFUNCTION("IFERROR(TEXTJOIN("", "",TRUE,UNIQUE(FILTER('Test Case Detail'!$A$3:$A$46,'Test Case Detail'!$C$3:$C$46=A22))),"""")"),"Campaign")</f>
        <v>Campaign</v>
      </c>
      <c r="D22" s="59" t="str">
        <f t="shared" si="0"/>
        <v>Supplemental</v>
      </c>
      <c r="E22" s="1"/>
      <c r="F22" s="1"/>
      <c r="G22" s="1"/>
      <c r="H22" s="1"/>
      <c r="I22" s="1"/>
    </row>
    <row r="23" ht="23.2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23.25" customHeight="1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ht="23.25" customHeight="1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ht="23.25" customHeight="1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ht="23.25" customHeight="1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ht="23.25" customHeight="1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ht="23.25" customHeight="1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ht="23.25" customHeight="1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ht="23.25" customHeight="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ht="23.25" customHeight="1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ht="23.25" customHeight="1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ht="23.25" customHeight="1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ht="23.25" customHeight="1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ht="23.25" customHeight="1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ht="23.25" customHeight="1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ht="23.25" customHeight="1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ht="23.25" customHeight="1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ht="23.25" customHeight="1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ht="23.25" customHeight="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ht="23.25" customHeight="1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ht="23.25" customHeight="1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ht="23.25" customHeight="1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ht="23.25" customHeight="1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ht="23.25" customHeight="1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ht="23.25" customHeight="1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ht="23.25" customHeight="1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ht="23.25" customHeight="1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ht="23.25" customHeight="1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ht="23.25" customHeight="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ht="23.25" customHeight="1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ht="23.25" customHeight="1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ht="23.25" customHeight="1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ht="23.25" customHeight="1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ht="23.25" customHeight="1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ht="23.25" customHeight="1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ht="23.25" customHeight="1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ht="23.25" customHeight="1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ht="23.25" customHeight="1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ht="23.25" customHeight="1" x14ac:dyDescent="0.25"/>
    <row r="62" ht="23.25" customHeight="1" x14ac:dyDescent="0.25"/>
    <row r="63" ht="23.25" customHeight="1" x14ac:dyDescent="0.25"/>
    <row r="64" ht="23.25" customHeight="1" x14ac:dyDescent="0.25"/>
    <row r="65" ht="23.25" customHeight="1" x14ac:dyDescent="0.25"/>
    <row r="66" ht="23.25" customHeight="1" x14ac:dyDescent="0.25"/>
    <row r="67" ht="23.25" customHeight="1" x14ac:dyDescent="0.25"/>
    <row r="68" ht="23.25" customHeight="1" x14ac:dyDescent="0.25"/>
    <row r="69" ht="23.25" customHeight="1" x14ac:dyDescent="0.25"/>
    <row r="70" ht="23.25" customHeight="1" x14ac:dyDescent="0.25"/>
    <row r="71" ht="23.25" customHeight="1" x14ac:dyDescent="0.25"/>
    <row r="72" ht="23.25" customHeight="1" x14ac:dyDescent="0.25"/>
    <row r="73" ht="23.25" customHeight="1" x14ac:dyDescent="0.25"/>
    <row r="74" ht="23.25" customHeight="1" x14ac:dyDescent="0.25"/>
    <row r="75" ht="23.25" customHeight="1" x14ac:dyDescent="0.25"/>
    <row r="76" ht="23.25" customHeight="1" x14ac:dyDescent="0.25"/>
    <row r="77" ht="23.25" customHeight="1" x14ac:dyDescent="0.25"/>
    <row r="78" ht="23.25" customHeight="1" x14ac:dyDescent="0.25"/>
    <row r="79" ht="23.25" customHeight="1" x14ac:dyDescent="0.25"/>
    <row r="80" ht="23.25" customHeight="1" x14ac:dyDescent="0.25"/>
    <row r="81" ht="23.25" customHeight="1" x14ac:dyDescent="0.25"/>
    <row r="82" ht="23.25" customHeight="1" x14ac:dyDescent="0.25"/>
    <row r="83" ht="23.25" customHeight="1" x14ac:dyDescent="0.25"/>
    <row r="84" ht="23.25" customHeight="1" x14ac:dyDescent="0.25"/>
    <row r="85" ht="23.25" customHeight="1" x14ac:dyDescent="0.25"/>
    <row r="86" ht="23.25" customHeight="1" x14ac:dyDescent="0.25"/>
    <row r="87" ht="23.25" customHeight="1" x14ac:dyDescent="0.25"/>
    <row r="88" ht="23.25" customHeight="1" x14ac:dyDescent="0.25"/>
    <row r="89" ht="23.25" customHeight="1" x14ac:dyDescent="0.25"/>
    <row r="90" ht="23.25" customHeight="1" x14ac:dyDescent="0.25"/>
    <row r="91" ht="23.25" customHeight="1" x14ac:dyDescent="0.25"/>
    <row r="92" ht="23.25" customHeight="1" x14ac:dyDescent="0.25"/>
    <row r="93" ht="23.25" customHeight="1" x14ac:dyDescent="0.25"/>
    <row r="94" ht="23.25" customHeight="1" x14ac:dyDescent="0.25"/>
    <row r="95" ht="23.25" customHeight="1" x14ac:dyDescent="0.25"/>
    <row r="96" ht="23.25" customHeight="1" x14ac:dyDescent="0.25"/>
    <row r="97" ht="23.25" customHeight="1" x14ac:dyDescent="0.25"/>
    <row r="98" ht="23.25" customHeight="1" x14ac:dyDescent="0.25"/>
    <row r="99" ht="23.25" customHeight="1" x14ac:dyDescent="0.25"/>
    <row r="100" ht="23.25" customHeight="1" x14ac:dyDescent="0.25"/>
    <row r="101" ht="23.25" customHeight="1" x14ac:dyDescent="0.25"/>
    <row r="102" ht="23.25" customHeight="1" x14ac:dyDescent="0.25"/>
    <row r="103" ht="23.25" customHeight="1" x14ac:dyDescent="0.25"/>
    <row r="104" ht="23.25" customHeight="1" x14ac:dyDescent="0.25"/>
    <row r="105" ht="23.25" customHeight="1" x14ac:dyDescent="0.25"/>
    <row r="106" ht="23.25" customHeight="1" x14ac:dyDescent="0.25"/>
    <row r="107" ht="23.25" customHeight="1" x14ac:dyDescent="0.25"/>
    <row r="108" ht="23.25" customHeight="1" x14ac:dyDescent="0.25"/>
    <row r="109" ht="23.25" customHeight="1" x14ac:dyDescent="0.25"/>
    <row r="110" ht="23.25" customHeight="1" x14ac:dyDescent="0.25"/>
    <row r="111" ht="23.25" customHeight="1" x14ac:dyDescent="0.25"/>
    <row r="112" ht="23.25" customHeight="1" x14ac:dyDescent="0.25"/>
    <row r="113" ht="23.25" customHeight="1" x14ac:dyDescent="0.25"/>
    <row r="114" ht="23.25" customHeight="1" x14ac:dyDescent="0.25"/>
    <row r="115" ht="23.25" customHeight="1" x14ac:dyDescent="0.25"/>
    <row r="116" ht="23.25" customHeight="1" x14ac:dyDescent="0.25"/>
    <row r="117" ht="23.25" customHeight="1" x14ac:dyDescent="0.25"/>
    <row r="118" ht="23.25" customHeight="1" x14ac:dyDescent="0.25"/>
    <row r="119" ht="23.25" customHeight="1" x14ac:dyDescent="0.25"/>
    <row r="120" ht="23.25" customHeight="1" x14ac:dyDescent="0.25"/>
    <row r="121" ht="23.25" customHeight="1" x14ac:dyDescent="0.25"/>
    <row r="122" ht="23.25" customHeight="1" x14ac:dyDescent="0.25"/>
    <row r="123" ht="23.25" customHeight="1" x14ac:dyDescent="0.25"/>
    <row r="124" ht="23.25" customHeight="1" x14ac:dyDescent="0.25"/>
    <row r="125" ht="23.25" customHeight="1" x14ac:dyDescent="0.25"/>
    <row r="126" ht="23.25" customHeight="1" x14ac:dyDescent="0.25"/>
    <row r="127" ht="23.25" customHeight="1" x14ac:dyDescent="0.25"/>
    <row r="128" ht="23.25" customHeight="1" x14ac:dyDescent="0.25"/>
    <row r="129" ht="23.25" customHeight="1" x14ac:dyDescent="0.25"/>
    <row r="130" ht="23.25" customHeight="1" x14ac:dyDescent="0.25"/>
    <row r="131" ht="23.25" customHeight="1" x14ac:dyDescent="0.25"/>
    <row r="132" ht="23.25" customHeight="1" x14ac:dyDescent="0.25"/>
    <row r="133" ht="23.25" customHeight="1" x14ac:dyDescent="0.25"/>
    <row r="134" ht="23.25" customHeight="1" x14ac:dyDescent="0.25"/>
    <row r="135" ht="23.25" customHeight="1" x14ac:dyDescent="0.25"/>
    <row r="136" ht="23.25" customHeight="1" x14ac:dyDescent="0.25"/>
    <row r="137" ht="23.25" customHeight="1" x14ac:dyDescent="0.25"/>
    <row r="138" ht="23.25" customHeight="1" x14ac:dyDescent="0.25"/>
    <row r="139" ht="23.25" customHeight="1" x14ac:dyDescent="0.25"/>
    <row r="140" ht="23.25" customHeight="1" x14ac:dyDescent="0.25"/>
    <row r="141" ht="23.25" customHeight="1" x14ac:dyDescent="0.25"/>
    <row r="142" ht="23.25" customHeight="1" x14ac:dyDescent="0.25"/>
    <row r="143" ht="23.25" customHeight="1" x14ac:dyDescent="0.25"/>
    <row r="144" ht="23.25" customHeight="1" x14ac:dyDescent="0.25"/>
    <row r="145" ht="23.25" customHeight="1" x14ac:dyDescent="0.25"/>
    <row r="146" ht="23.25" customHeight="1" x14ac:dyDescent="0.25"/>
    <row r="147" ht="23.25" customHeight="1" x14ac:dyDescent="0.25"/>
    <row r="148" ht="23.25" customHeight="1" x14ac:dyDescent="0.25"/>
    <row r="149" ht="23.25" customHeight="1" x14ac:dyDescent="0.25"/>
    <row r="150" ht="23.25" customHeight="1" x14ac:dyDescent="0.25"/>
    <row r="151" ht="23.25" customHeight="1" x14ac:dyDescent="0.25"/>
    <row r="152" ht="23.25" customHeight="1" x14ac:dyDescent="0.25"/>
    <row r="153" ht="23.25" customHeight="1" x14ac:dyDescent="0.25"/>
    <row r="154" ht="23.25" customHeight="1" x14ac:dyDescent="0.25"/>
    <row r="155" ht="23.25" customHeight="1" x14ac:dyDescent="0.25"/>
    <row r="156" ht="23.25" customHeight="1" x14ac:dyDescent="0.25"/>
    <row r="157" ht="23.25" customHeight="1" x14ac:dyDescent="0.25"/>
    <row r="158" ht="23.25" customHeight="1" x14ac:dyDescent="0.25"/>
    <row r="159" ht="23.25" customHeight="1" x14ac:dyDescent="0.25"/>
    <row r="160" ht="23.25" customHeight="1" x14ac:dyDescent="0.25"/>
    <row r="161" ht="23.25" customHeight="1" x14ac:dyDescent="0.25"/>
    <row r="162" ht="23.25" customHeight="1" x14ac:dyDescent="0.25"/>
    <row r="163" ht="23.25" customHeight="1" x14ac:dyDescent="0.25"/>
    <row r="164" ht="23.25" customHeight="1" x14ac:dyDescent="0.25"/>
    <row r="165" ht="23.25" customHeight="1" x14ac:dyDescent="0.25"/>
    <row r="166" ht="23.25" customHeight="1" x14ac:dyDescent="0.25"/>
    <row r="167" ht="23.25" customHeight="1" x14ac:dyDescent="0.25"/>
    <row r="168" ht="23.25" customHeight="1" x14ac:dyDescent="0.25"/>
    <row r="169" ht="23.25" customHeight="1" x14ac:dyDescent="0.25"/>
    <row r="170" ht="23.25" customHeight="1" x14ac:dyDescent="0.25"/>
    <row r="171" ht="23.25" customHeight="1" x14ac:dyDescent="0.25"/>
    <row r="172" ht="23.25" customHeight="1" x14ac:dyDescent="0.25"/>
    <row r="173" ht="23.25" customHeight="1" x14ac:dyDescent="0.25"/>
    <row r="174" ht="23.25" customHeight="1" x14ac:dyDescent="0.25"/>
    <row r="175" ht="23.25" customHeight="1" x14ac:dyDescent="0.25"/>
    <row r="176" ht="23.25" customHeight="1" x14ac:dyDescent="0.25"/>
    <row r="177" ht="23.25" customHeight="1" x14ac:dyDescent="0.25"/>
    <row r="178" ht="23.25" customHeight="1" x14ac:dyDescent="0.25"/>
    <row r="179" ht="23.25" customHeight="1" x14ac:dyDescent="0.25"/>
    <row r="180" ht="23.25" customHeight="1" x14ac:dyDescent="0.25"/>
    <row r="181" ht="23.25" customHeight="1" x14ac:dyDescent="0.25"/>
    <row r="182" ht="23.25" customHeight="1" x14ac:dyDescent="0.25"/>
    <row r="183" ht="23.25" customHeight="1" x14ac:dyDescent="0.25"/>
    <row r="184" ht="23.25" customHeight="1" x14ac:dyDescent="0.25"/>
    <row r="185" ht="23.25" customHeight="1" x14ac:dyDescent="0.25"/>
    <row r="186" ht="23.25" customHeight="1" x14ac:dyDescent="0.25"/>
    <row r="187" ht="23.25" customHeight="1" x14ac:dyDescent="0.25"/>
    <row r="188" ht="23.25" customHeight="1" x14ac:dyDescent="0.25"/>
    <row r="189" ht="23.25" customHeight="1" x14ac:dyDescent="0.25"/>
    <row r="190" ht="23.25" customHeight="1" x14ac:dyDescent="0.25"/>
    <row r="191" ht="23.25" customHeight="1" x14ac:dyDescent="0.25"/>
    <row r="192" ht="23.25" customHeight="1" x14ac:dyDescent="0.25"/>
    <row r="193" ht="23.25" customHeight="1" x14ac:dyDescent="0.25"/>
    <row r="194" ht="23.25" customHeight="1" x14ac:dyDescent="0.25"/>
    <row r="195" ht="23.25" customHeight="1" x14ac:dyDescent="0.25"/>
    <row r="196" ht="23.25" customHeight="1" x14ac:dyDescent="0.25"/>
    <row r="197" ht="23.25" customHeight="1" x14ac:dyDescent="0.25"/>
    <row r="198" ht="23.25" customHeight="1" x14ac:dyDescent="0.25"/>
    <row r="199" ht="23.25" customHeight="1" x14ac:dyDescent="0.25"/>
    <row r="200" ht="23.25" customHeight="1" x14ac:dyDescent="0.25"/>
    <row r="201" ht="23.25" customHeight="1" x14ac:dyDescent="0.25"/>
    <row r="202" ht="23.25" customHeight="1" x14ac:dyDescent="0.25"/>
    <row r="203" ht="23.25" customHeight="1" x14ac:dyDescent="0.25"/>
    <row r="204" ht="23.25" customHeight="1" x14ac:dyDescent="0.25"/>
    <row r="205" ht="23.25" customHeight="1" x14ac:dyDescent="0.25"/>
    <row r="206" ht="23.25" customHeight="1" x14ac:dyDescent="0.25"/>
    <row r="207" ht="23.25" customHeight="1" x14ac:dyDescent="0.25"/>
    <row r="20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  <row r="996" ht="23.25" customHeight="1" x14ac:dyDescent="0.25"/>
    <row r="997" ht="23.25" customHeight="1" x14ac:dyDescent="0.25"/>
    <row r="998" ht="23.25" customHeight="1" x14ac:dyDescent="0.25"/>
    <row r="999" ht="23.25" customHeight="1" x14ac:dyDescent="0.25"/>
    <row r="1000" ht="23.25" customHeight="1" x14ac:dyDescent="0.25"/>
  </sheetData>
  <mergeCells count="1">
    <mergeCell ref="A1:D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I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" customWidth="1"/>
    <col min="2" max="2" width="26" customWidth="1"/>
    <col min="3" max="3" width="62" customWidth="1"/>
    <col min="4" max="4" width="2" customWidth="1"/>
    <col min="5" max="26" width="8.71" customWidth="1"/>
  </cols>
  <sheetData>
    <row r="1" ht="20.25" customHeight="1" spans="1:9" x14ac:dyDescent="0.25">
      <c r="A1" s="1"/>
      <c r="B1" s="36" t="s">
        <v>159</v>
      </c>
      <c r="C1"/>
      <c r="D1" s="1"/>
      <c r="E1" s="1"/>
      <c r="F1" s="1"/>
      <c r="G1" s="1"/>
      <c r="H1" s="1"/>
      <c r="I1" s="1"/>
    </row>
    <row r="2" ht="20.25" customHeight="1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ht="20.25" customHeight="1" spans="1:9" x14ac:dyDescent="0.25">
      <c r="A3" s="1"/>
      <c r="B3" s="60" t="s">
        <v>160</v>
      </c>
      <c r="C3"/>
      <c r="D3" s="1"/>
      <c r="E3" s="1"/>
      <c r="F3" s="1"/>
      <c r="G3" s="1"/>
      <c r="H3" s="1"/>
      <c r="I3" s="1"/>
    </row>
    <row r="4" ht="20.25" customHeight="1" spans="1:9" x14ac:dyDescent="0.25">
      <c r="A4" s="1"/>
      <c r="B4" s="61" t="s">
        <v>12</v>
      </c>
      <c r="C4" s="62" t="s">
        <v>161</v>
      </c>
      <c r="D4" s="1"/>
      <c r="E4" s="1"/>
      <c r="F4" s="1"/>
      <c r="G4" s="1"/>
      <c r="H4" s="1"/>
      <c r="I4" s="1"/>
    </row>
    <row r="5" ht="20.25" customHeight="1" spans="1:9" x14ac:dyDescent="0.25">
      <c r="A5" s="1"/>
      <c r="B5" s="63" t="s">
        <v>13</v>
      </c>
      <c r="C5" s="62" t="s">
        <v>162</v>
      </c>
      <c r="D5" s="1"/>
      <c r="E5" s="1"/>
      <c r="F5" s="1"/>
      <c r="G5" s="1"/>
      <c r="H5" s="1"/>
      <c r="I5" s="1"/>
    </row>
    <row r="6" ht="20.25" customHeight="1" spans="1:9" x14ac:dyDescent="0.25">
      <c r="A6" s="1"/>
      <c r="B6" s="64" t="s">
        <v>15</v>
      </c>
      <c r="C6" s="62" t="s">
        <v>163</v>
      </c>
      <c r="D6" s="1"/>
      <c r="E6" s="1"/>
      <c r="F6" s="1"/>
      <c r="G6" s="1"/>
      <c r="H6" s="1"/>
      <c r="I6" s="1"/>
    </row>
    <row r="7" ht="20.25" customHeight="1" spans="1:9" x14ac:dyDescent="0.25">
      <c r="A7" s="1"/>
      <c r="B7" s="65" t="s">
        <v>16</v>
      </c>
      <c r="C7" s="62" t="s">
        <v>164</v>
      </c>
      <c r="D7" s="1"/>
      <c r="E7" s="1"/>
      <c r="F7" s="1"/>
      <c r="G7" s="1"/>
      <c r="H7" s="1"/>
      <c r="I7" s="1"/>
    </row>
    <row r="8" ht="20.25" customHeight="1" spans="1:9" x14ac:dyDescent="0.25">
      <c r="A8" s="1"/>
      <c r="B8" s="66" t="s">
        <v>17</v>
      </c>
      <c r="C8" s="62" t="s">
        <v>165</v>
      </c>
      <c r="D8" s="1"/>
      <c r="E8" s="1"/>
      <c r="F8" s="1"/>
      <c r="G8" s="1"/>
      <c r="H8" s="1"/>
      <c r="I8" s="1"/>
    </row>
    <row r="9" ht="20.25" customHeight="1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ht="20.25" customHeight="1" spans="1:9" x14ac:dyDescent="0.25">
      <c r="A10" s="1"/>
      <c r="B10" s="60" t="s">
        <v>166</v>
      </c>
      <c r="C10"/>
      <c r="D10" s="1"/>
      <c r="E10" s="1"/>
      <c r="F10" s="1"/>
      <c r="G10" s="1"/>
      <c r="H10" s="1"/>
      <c r="I10" s="1"/>
    </row>
    <row r="11" ht="20.25" customHeight="1" spans="1:9" x14ac:dyDescent="0.25">
      <c r="A11" s="1"/>
      <c r="B11" s="67" t="s">
        <v>3</v>
      </c>
      <c r="C11" s="62" t="s">
        <v>167</v>
      </c>
      <c r="D11" s="1"/>
      <c r="E11" s="1"/>
      <c r="F11" s="1"/>
      <c r="G11" s="1"/>
      <c r="H11" s="1"/>
      <c r="I11" s="1"/>
    </row>
    <row r="12" ht="27.75" customHeight="1" spans="1:9" x14ac:dyDescent="0.25">
      <c r="A12" s="1"/>
      <c r="B12" s="68" t="s">
        <v>5</v>
      </c>
      <c r="C12" s="62" t="s">
        <v>168</v>
      </c>
      <c r="D12" s="1"/>
      <c r="E12" s="1"/>
      <c r="F12" s="1"/>
      <c r="G12" s="1"/>
      <c r="H12" s="1"/>
      <c r="I12" s="1"/>
    </row>
    <row r="13" ht="20.25" customHeight="1" spans="1:9" x14ac:dyDescent="0.25">
      <c r="A13" s="1"/>
      <c r="B13" s="69" t="s">
        <v>169</v>
      </c>
      <c r="C13" s="62" t="s">
        <v>170</v>
      </c>
      <c r="D13" s="1"/>
      <c r="E13" s="1"/>
      <c r="F13" s="1"/>
      <c r="G13" s="1"/>
      <c r="H13" s="1"/>
      <c r="I13" s="1"/>
    </row>
    <row r="14" ht="20.25" customHeight="1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ht="20.25" customHeight="1" spans="1:9" x14ac:dyDescent="0.25">
      <c r="A15" s="1"/>
      <c r="B15" s="60" t="s">
        <v>171</v>
      </c>
      <c r="C15"/>
      <c r="D15" s="1"/>
      <c r="E15" s="1"/>
      <c r="F15" s="1"/>
      <c r="G15" s="1"/>
      <c r="H15" s="1"/>
      <c r="I15" s="1"/>
    </row>
    <row r="16" ht="20.25" customHeight="1" spans="1:9" x14ac:dyDescent="0.25">
      <c r="A16" s="1"/>
      <c r="B16" s="69" t="s">
        <v>172</v>
      </c>
      <c r="C16" s="62" t="s">
        <v>173</v>
      </c>
      <c r="D16" s="1"/>
      <c r="E16" s="1"/>
      <c r="F16" s="1"/>
      <c r="G16" s="1"/>
      <c r="H16" s="1"/>
      <c r="I16" s="1"/>
    </row>
    <row r="17" ht="20.25" customHeight="1" spans="1:9" x14ac:dyDescent="0.25">
      <c r="A17" s="1"/>
      <c r="B17" s="70" t="s">
        <v>174</v>
      </c>
      <c r="C17" s="62" t="s">
        <v>175</v>
      </c>
      <c r="D17" s="1"/>
      <c r="E17" s="1"/>
      <c r="F17" s="1"/>
      <c r="G17" s="1"/>
      <c r="H17" s="1"/>
      <c r="I17" s="1"/>
    </row>
    <row r="18" ht="20.25" customHeight="1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ht="20.25" customHeight="1" spans="1:9" x14ac:dyDescent="0.25">
      <c r="A19" s="1"/>
      <c r="B19" s="60" t="s">
        <v>158</v>
      </c>
      <c r="C19"/>
      <c r="D19" s="1"/>
      <c r="E19" s="1"/>
      <c r="F19" s="1"/>
      <c r="G19" s="1"/>
      <c r="H19" s="1"/>
      <c r="I19" s="1"/>
    </row>
    <row r="20" ht="20.25" customHeight="1" spans="1:9" x14ac:dyDescent="0.25">
      <c r="A20" s="1"/>
      <c r="B20" s="67" t="s">
        <v>176</v>
      </c>
      <c r="C20" s="62" t="s">
        <v>177</v>
      </c>
      <c r="D20" s="1"/>
      <c r="E20" s="1"/>
      <c r="F20" s="1"/>
      <c r="G20" s="1"/>
      <c r="H20" s="1"/>
      <c r="I20" s="1"/>
    </row>
    <row r="21" ht="20.25" customHeight="1" spans="1:9" x14ac:dyDescent="0.25">
      <c r="A21" s="1"/>
      <c r="B21" s="68" t="s">
        <v>178</v>
      </c>
      <c r="C21" s="62" t="s">
        <v>179</v>
      </c>
      <c r="D21" s="1"/>
      <c r="E21" s="1"/>
      <c r="F21" s="1"/>
      <c r="G21" s="1"/>
      <c r="H21" s="1"/>
      <c r="I21" s="1"/>
    </row>
    <row r="22" ht="20.25" customHeight="1" spans="1:9" x14ac:dyDescent="0.25">
      <c r="A22" s="1"/>
      <c r="B22" s="71" t="s">
        <v>180</v>
      </c>
      <c r="C22" s="62" t="s">
        <v>181</v>
      </c>
      <c r="D22" s="1"/>
      <c r="E22" s="1"/>
      <c r="F22" s="1"/>
      <c r="G22" s="1"/>
      <c r="H22" s="1"/>
      <c r="I22" s="1"/>
    </row>
    <row r="23" ht="20.2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20.25" customHeight="1" spans="1:9" x14ac:dyDescent="0.25">
      <c r="A24" s="1"/>
      <c r="B24" s="60" t="s">
        <v>182</v>
      </c>
      <c r="C24"/>
      <c r="D24" s="1"/>
      <c r="E24" s="1"/>
      <c r="F24" s="1"/>
      <c r="G24" s="1"/>
      <c r="H24" s="1"/>
      <c r="I24" s="1"/>
    </row>
    <row r="25" ht="28.5" customHeight="1" spans="1:9" x14ac:dyDescent="0.25">
      <c r="A25" s="1"/>
      <c r="B25" s="72" t="s">
        <v>183</v>
      </c>
      <c r="C25" s="62" t="s">
        <v>184</v>
      </c>
      <c r="D25" s="1"/>
      <c r="E25" s="1"/>
      <c r="F25" s="1"/>
      <c r="G25" s="1"/>
      <c r="H25" s="1"/>
      <c r="I25" s="1"/>
    </row>
    <row r="26" ht="28.5" customHeight="1" spans="1:9" x14ac:dyDescent="0.25">
      <c r="A26" s="1"/>
      <c r="B26" s="72" t="s">
        <v>185</v>
      </c>
      <c r="C26" s="62" t="s">
        <v>186</v>
      </c>
      <c r="D26" s="1"/>
      <c r="E26" s="1"/>
      <c r="F26" s="1"/>
      <c r="G26" s="1"/>
      <c r="H26" s="1"/>
      <c r="I26" s="1"/>
    </row>
    <row r="27" ht="28.5" customHeight="1" spans="1:9" x14ac:dyDescent="0.25">
      <c r="A27" s="1"/>
      <c r="B27" s="72" t="s">
        <v>187</v>
      </c>
      <c r="C27" s="62" t="s">
        <v>188</v>
      </c>
      <c r="D27" s="1"/>
      <c r="E27" s="1"/>
      <c r="F27" s="1"/>
      <c r="G27" s="1"/>
      <c r="H27" s="1"/>
      <c r="I27" s="1"/>
    </row>
    <row r="28" ht="28.5" customHeight="1" spans="1:9" x14ac:dyDescent="0.25">
      <c r="A28" s="1"/>
      <c r="B28" s="72" t="s">
        <v>187</v>
      </c>
      <c r="C28" s="62" t="s">
        <v>189</v>
      </c>
      <c r="D28" s="1"/>
      <c r="E28" s="1"/>
      <c r="F28" s="1"/>
      <c r="G28" s="1"/>
      <c r="H28" s="1"/>
      <c r="I28" s="1"/>
    </row>
    <row r="29" ht="20.25" customHeight="1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ht="20.25" customHeight="1" spans="1:9" x14ac:dyDescent="0.25">
      <c r="A30" s="1"/>
      <c r="B30" s="73" t="s">
        <v>190</v>
      </c>
      <c r="C30"/>
      <c r="D30" s="1"/>
      <c r="E30" s="1"/>
      <c r="F30" s="1"/>
      <c r="G30" s="1"/>
      <c r="H30" s="1"/>
      <c r="I30" s="1"/>
    </row>
    <row r="31" ht="20.25" customHeight="1" spans="1:9" x14ac:dyDescent="0.25">
      <c r="A31" s="1"/>
      <c r="B31" s="72" t="s">
        <v>191</v>
      </c>
      <c r="C31" s="62" t="s">
        <v>192</v>
      </c>
      <c r="D31" s="1"/>
      <c r="E31" s="1"/>
      <c r="F31" s="1"/>
      <c r="G31" s="1"/>
      <c r="H31" s="1"/>
      <c r="I31" s="1"/>
    </row>
    <row r="32" ht="20.25" customHeight="1" spans="1:9" x14ac:dyDescent="0.25">
      <c r="A32" s="1"/>
      <c r="B32" s="72" t="s">
        <v>193</v>
      </c>
      <c r="C32" s="62" t="s">
        <v>194</v>
      </c>
      <c r="D32" s="1"/>
      <c r="E32" s="1"/>
      <c r="F32" s="1"/>
      <c r="G32" s="1"/>
      <c r="H32" s="1"/>
      <c r="I32" s="1"/>
    </row>
    <row r="33" ht="20.25" customHeight="1" spans="1:9" x14ac:dyDescent="0.25">
      <c r="A33" s="1"/>
      <c r="B33" s="72" t="s">
        <v>195</v>
      </c>
      <c r="C33" s="62" t="s">
        <v>196</v>
      </c>
      <c r="D33" s="1"/>
      <c r="E33" s="1"/>
      <c r="F33" s="1"/>
      <c r="G33" s="1"/>
      <c r="H33" s="1"/>
      <c r="I33" s="1"/>
    </row>
    <row r="34" ht="20.25" customHeight="1" spans="1:9" x14ac:dyDescent="0.25">
      <c r="A34" s="1"/>
      <c r="B34" s="72" t="s">
        <v>197</v>
      </c>
      <c r="C34" s="62" t="s">
        <v>198</v>
      </c>
      <c r="D34" s="1"/>
      <c r="E34" s="1"/>
      <c r="F34" s="1"/>
      <c r="G34" s="1"/>
      <c r="H34" s="1"/>
      <c r="I34" s="1"/>
    </row>
    <row r="35" ht="20.25" customHeight="1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ht="20.25" customHeight="1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ht="20.25" customHeight="1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ht="20.25" customHeight="1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ht="20.25" customHeight="1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ht="20.25" customHeight="1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ht="20.25" customHeight="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ht="20.25" customHeight="1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ht="20.25" customHeight="1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ht="20.25" customHeight="1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ht="20.25" customHeight="1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ht="20.25" customHeight="1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ht="20.25" customHeight="1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ht="20.25" customHeight="1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ht="20.25" customHeight="1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ht="20.25" customHeight="1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ht="20.25" customHeight="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ht="20.25" customHeight="1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ht="20.25" customHeight="1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ht="20.25" customHeight="1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ht="20.25" customHeight="1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ht="20.25" customHeight="1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ht="20.25" customHeight="1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ht="20.25" customHeight="1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ht="20.25" customHeight="1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ht="20.25" customHeight="1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ht="20.25" customHeight="1" x14ac:dyDescent="0.25"/>
    <row r="62" ht="20.25" customHeight="1" x14ac:dyDescent="0.25"/>
    <row r="63" ht="20.25" customHeight="1" x14ac:dyDescent="0.25"/>
    <row r="64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ht="20.25" customHeight="1" x14ac:dyDescent="0.25"/>
    <row r="82" ht="20.25" customHeight="1" x14ac:dyDescent="0.25"/>
    <row r="83" ht="20.25" customHeight="1" x14ac:dyDescent="0.25"/>
    <row r="84" ht="20.25" customHeight="1" x14ac:dyDescent="0.25"/>
    <row r="85" ht="20.25" customHeight="1" x14ac:dyDescent="0.25"/>
    <row r="86" ht="20.25" customHeight="1" x14ac:dyDescent="0.25"/>
    <row r="87" ht="20.25" customHeight="1" x14ac:dyDescent="0.25"/>
    <row r="88" ht="20.25" customHeight="1" x14ac:dyDescent="0.25"/>
    <row r="89" ht="20.25" customHeight="1" x14ac:dyDescent="0.25"/>
    <row r="90" ht="20.25" customHeight="1" x14ac:dyDescent="0.25"/>
    <row r="91" ht="20.25" customHeight="1" x14ac:dyDescent="0.25"/>
    <row r="92" ht="20.25" customHeight="1" x14ac:dyDescent="0.25"/>
    <row r="93" ht="20.25" customHeight="1" x14ac:dyDescent="0.25"/>
    <row r="94" ht="20.25" customHeight="1" x14ac:dyDescent="0.25"/>
    <row r="95" ht="20.25" customHeight="1" x14ac:dyDescent="0.25"/>
    <row r="96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20.25" customHeight="1" x14ac:dyDescent="0.25"/>
    <row r="128" ht="20.25" customHeight="1" x14ac:dyDescent="0.25"/>
    <row r="129" ht="20.25" customHeight="1" x14ac:dyDescent="0.25"/>
    <row r="130" ht="20.25" customHeight="1" x14ac:dyDescent="0.25"/>
    <row r="131" ht="20.25" customHeight="1" x14ac:dyDescent="0.25"/>
    <row r="132" ht="20.25" customHeight="1" x14ac:dyDescent="0.25"/>
    <row r="133" ht="20.25" customHeight="1" x14ac:dyDescent="0.25"/>
    <row r="134" ht="20.25" customHeight="1" x14ac:dyDescent="0.25"/>
    <row r="135" ht="20.25" customHeight="1" x14ac:dyDescent="0.25"/>
    <row r="136" ht="20.25" customHeight="1" x14ac:dyDescent="0.25"/>
    <row r="137" ht="20.25" customHeight="1" x14ac:dyDescent="0.25"/>
    <row r="138" ht="20.25" customHeight="1" x14ac:dyDescent="0.25"/>
    <row r="139" ht="20.25" customHeight="1" x14ac:dyDescent="0.25"/>
    <row r="140" ht="20.25" customHeight="1" x14ac:dyDescent="0.25"/>
    <row r="141" ht="20.25" customHeight="1" x14ac:dyDescent="0.25"/>
    <row r="142" ht="20.25" customHeight="1" x14ac:dyDescent="0.25"/>
    <row r="143" ht="20.25" customHeight="1" x14ac:dyDescent="0.25"/>
    <row r="144" ht="20.25" customHeight="1" x14ac:dyDescent="0.25"/>
    <row r="145" ht="20.25" customHeight="1" x14ac:dyDescent="0.25"/>
    <row r="146" ht="20.25" customHeight="1" x14ac:dyDescent="0.25"/>
    <row r="147" ht="20.25" customHeight="1" x14ac:dyDescent="0.25"/>
    <row r="148" ht="20.25" customHeight="1" x14ac:dyDescent="0.25"/>
    <row r="149" ht="20.25" customHeight="1" x14ac:dyDescent="0.25"/>
    <row r="150" ht="20.25" customHeight="1" x14ac:dyDescent="0.25"/>
    <row r="151" ht="20.25" customHeight="1" x14ac:dyDescent="0.25"/>
    <row r="152" ht="20.25" customHeight="1" x14ac:dyDescent="0.25"/>
    <row r="153" ht="20.25" customHeight="1" x14ac:dyDescent="0.25"/>
    <row r="154" ht="20.25" customHeight="1" x14ac:dyDescent="0.25"/>
    <row r="155" ht="20.25" customHeight="1" x14ac:dyDescent="0.25"/>
    <row r="156" ht="20.25" customHeight="1" x14ac:dyDescent="0.25"/>
    <row r="157" ht="20.25" customHeight="1" x14ac:dyDescent="0.25"/>
    <row r="158" ht="20.25" customHeight="1" x14ac:dyDescent="0.25"/>
    <row r="159" ht="20.25" customHeight="1" x14ac:dyDescent="0.25"/>
    <row r="160" ht="20.25" customHeight="1" x14ac:dyDescent="0.25"/>
    <row r="161" ht="20.25" customHeight="1" x14ac:dyDescent="0.25"/>
    <row r="162" ht="20.25" customHeight="1" x14ac:dyDescent="0.25"/>
    <row r="163" ht="20.25" customHeight="1" x14ac:dyDescent="0.25"/>
    <row r="164" ht="20.25" customHeight="1" x14ac:dyDescent="0.25"/>
    <row r="165" ht="20.25" customHeight="1" x14ac:dyDescent="0.25"/>
    <row r="166" ht="20.25" customHeight="1" x14ac:dyDescent="0.25"/>
    <row r="167" ht="20.25" customHeight="1" x14ac:dyDescent="0.25"/>
    <row r="168" ht="20.25" customHeight="1" x14ac:dyDescent="0.25"/>
    <row r="169" ht="20.25" customHeight="1" x14ac:dyDescent="0.25"/>
    <row r="170" ht="20.25" customHeight="1" x14ac:dyDescent="0.25"/>
    <row r="171" ht="20.25" customHeight="1" x14ac:dyDescent="0.25"/>
    <row r="172" ht="20.25" customHeight="1" x14ac:dyDescent="0.25"/>
    <row r="173" ht="20.25" customHeight="1" x14ac:dyDescent="0.25"/>
    <row r="174" ht="20.25" customHeight="1" x14ac:dyDescent="0.25"/>
    <row r="175" ht="20.25" customHeight="1" x14ac:dyDescent="0.25"/>
    <row r="176" ht="20.25" customHeight="1" x14ac:dyDescent="0.25"/>
    <row r="177" ht="20.25" customHeight="1" x14ac:dyDescent="0.25"/>
    <row r="178" ht="20.25" customHeight="1" x14ac:dyDescent="0.25"/>
    <row r="179" ht="20.25" customHeight="1" x14ac:dyDescent="0.25"/>
    <row r="180" ht="20.25" customHeight="1" x14ac:dyDescent="0.25"/>
    <row r="181" ht="20.25" customHeight="1" x14ac:dyDescent="0.25"/>
    <row r="182" ht="20.25" customHeight="1" x14ac:dyDescent="0.25"/>
    <row r="183" ht="20.25" customHeight="1" x14ac:dyDescent="0.25"/>
    <row r="184" ht="20.25" customHeight="1" x14ac:dyDescent="0.25"/>
    <row r="185" ht="20.25" customHeight="1" x14ac:dyDescent="0.25"/>
    <row r="186" ht="20.25" customHeight="1" x14ac:dyDescent="0.25"/>
    <row r="187" ht="20.25" customHeight="1" x14ac:dyDescent="0.25"/>
    <row r="188" ht="20.25" customHeight="1" x14ac:dyDescent="0.25"/>
    <row r="189" ht="20.25" customHeight="1" x14ac:dyDescent="0.25"/>
    <row r="190" ht="20.25" customHeight="1" x14ac:dyDescent="0.25"/>
    <row r="191" ht="20.25" customHeight="1" x14ac:dyDescent="0.25"/>
    <row r="192" ht="20.25" customHeight="1" x14ac:dyDescent="0.25"/>
    <row r="193" ht="20.25" customHeight="1" x14ac:dyDescent="0.25"/>
    <row r="194" ht="20.25" customHeight="1" x14ac:dyDescent="0.25"/>
    <row r="195" ht="20.25" customHeight="1" x14ac:dyDescent="0.25"/>
    <row r="196" ht="20.25" customHeight="1" x14ac:dyDescent="0.25"/>
    <row r="197" ht="20.25" customHeight="1" x14ac:dyDescent="0.25"/>
    <row r="198" ht="20.25" customHeight="1" x14ac:dyDescent="0.25"/>
    <row r="199" ht="20.25" customHeight="1" x14ac:dyDescent="0.25"/>
    <row r="200" ht="20.25" customHeight="1" x14ac:dyDescent="0.25"/>
    <row r="201" ht="20.25" customHeight="1" x14ac:dyDescent="0.25"/>
    <row r="202" ht="20.25" customHeight="1" x14ac:dyDescent="0.25"/>
    <row r="203" ht="20.25" customHeight="1" x14ac:dyDescent="0.25"/>
    <row r="204" ht="20.25" customHeight="1" x14ac:dyDescent="0.25"/>
    <row r="205" ht="20.25" customHeight="1" x14ac:dyDescent="0.25"/>
    <row r="206" ht="20.25" customHeight="1" x14ac:dyDescent="0.25"/>
    <row r="207" ht="20.25" customHeight="1" x14ac:dyDescent="0.25"/>
    <row r="208" ht="20.25" customHeight="1" x14ac:dyDescent="0.25"/>
    <row r="209" ht="20.25" customHeight="1" x14ac:dyDescent="0.25"/>
    <row r="210" ht="20.25" customHeight="1" x14ac:dyDescent="0.25"/>
    <row r="211" ht="20.25" customHeight="1" x14ac:dyDescent="0.25"/>
    <row r="212" ht="20.25" customHeight="1" x14ac:dyDescent="0.25"/>
    <row r="213" ht="20.25" customHeight="1" x14ac:dyDescent="0.25"/>
    <row r="214" ht="20.25" customHeight="1" x14ac:dyDescent="0.25"/>
    <row r="215" ht="20.25" customHeight="1" x14ac:dyDescent="0.25"/>
    <row r="216" ht="20.25" customHeight="1" x14ac:dyDescent="0.25"/>
    <row r="217" ht="20.25" customHeight="1" x14ac:dyDescent="0.25"/>
    <row r="218" ht="20.25" customHeight="1" x14ac:dyDescent="0.25"/>
    <row r="219" ht="20.25" customHeight="1" x14ac:dyDescent="0.25"/>
    <row r="220" ht="20.25" customHeight="1" x14ac:dyDescent="0.25"/>
    <row r="221" ht="20.25" customHeight="1" x14ac:dyDescent="0.25"/>
    <row r="222" ht="20.25" customHeight="1" x14ac:dyDescent="0.25"/>
    <row r="223" ht="20.25" customHeight="1" x14ac:dyDescent="0.25"/>
    <row r="224" ht="20.25" customHeight="1" x14ac:dyDescent="0.25"/>
    <row r="225" ht="20.25" customHeight="1" x14ac:dyDescent="0.25"/>
    <row r="226" ht="20.25" customHeight="1" x14ac:dyDescent="0.25"/>
    <row r="227" ht="20.25" customHeight="1" x14ac:dyDescent="0.25"/>
    <row r="228" ht="20.25" customHeight="1" x14ac:dyDescent="0.25"/>
    <row r="229" ht="20.25" customHeight="1" x14ac:dyDescent="0.25"/>
    <row r="230" ht="20.25" customHeight="1" x14ac:dyDescent="0.25"/>
    <row r="231" ht="20.25" customHeight="1" x14ac:dyDescent="0.25"/>
    <row r="232" ht="20.25" customHeight="1" x14ac:dyDescent="0.25"/>
    <row r="233" ht="20.25" customHeight="1" x14ac:dyDescent="0.25"/>
    <row r="234" ht="20.25" customHeight="1" x14ac:dyDescent="0.25"/>
    <row r="235" ht="20.25" customHeight="1" x14ac:dyDescent="0.25"/>
    <row r="236" ht="20.25" customHeight="1" x14ac:dyDescent="0.25"/>
    <row r="237" ht="20.25" customHeight="1" x14ac:dyDescent="0.25"/>
    <row r="238" ht="20.25" customHeight="1" x14ac:dyDescent="0.25"/>
    <row r="239" ht="20.25" customHeight="1" x14ac:dyDescent="0.25"/>
    <row r="240" ht="20.25" customHeight="1" x14ac:dyDescent="0.25"/>
    <row r="241" ht="20.25" customHeight="1" x14ac:dyDescent="0.25"/>
    <row r="242" ht="20.25" customHeight="1" x14ac:dyDescent="0.25"/>
    <row r="243" ht="20.25" customHeight="1" x14ac:dyDescent="0.25"/>
    <row r="244" ht="20.25" customHeight="1" x14ac:dyDescent="0.25"/>
    <row r="245" ht="20.25" customHeight="1" x14ac:dyDescent="0.25"/>
    <row r="246" ht="20.25" customHeight="1" x14ac:dyDescent="0.25"/>
    <row r="247" ht="20.25" customHeight="1" x14ac:dyDescent="0.25"/>
    <row r="248" ht="20.25" customHeight="1" x14ac:dyDescent="0.25"/>
    <row r="249" ht="20.25" customHeight="1" x14ac:dyDescent="0.25"/>
    <row r="250" ht="20.25" customHeight="1" x14ac:dyDescent="0.25"/>
    <row r="251" ht="20.25" customHeight="1" x14ac:dyDescent="0.25"/>
    <row r="252" ht="20.25" customHeight="1" x14ac:dyDescent="0.25"/>
    <row r="253" ht="20.25" customHeight="1" x14ac:dyDescent="0.25"/>
    <row r="254" ht="20.25" customHeight="1" x14ac:dyDescent="0.25"/>
    <row r="255" ht="20.25" customHeight="1" x14ac:dyDescent="0.25"/>
    <row r="256" ht="20.25" customHeight="1" x14ac:dyDescent="0.25"/>
    <row r="257" ht="20.25" customHeight="1" x14ac:dyDescent="0.25"/>
    <row r="258" ht="20.25" customHeight="1" x14ac:dyDescent="0.25"/>
    <row r="259" ht="20.25" customHeight="1" x14ac:dyDescent="0.25"/>
    <row r="260" ht="20.25" customHeight="1" x14ac:dyDescent="0.25"/>
    <row r="261" ht="20.25" customHeight="1" x14ac:dyDescent="0.25"/>
    <row r="262" ht="20.25" customHeight="1" x14ac:dyDescent="0.25"/>
    <row r="263" ht="20.25" customHeight="1" x14ac:dyDescent="0.25"/>
    <row r="264" ht="20.25" customHeight="1" x14ac:dyDescent="0.25"/>
    <row r="265" ht="20.25" customHeight="1" x14ac:dyDescent="0.25"/>
    <row r="266" ht="20.25" customHeight="1" x14ac:dyDescent="0.25"/>
    <row r="267" ht="20.25" customHeight="1" x14ac:dyDescent="0.25"/>
    <row r="268" ht="20.25" customHeight="1" x14ac:dyDescent="0.25"/>
    <row r="269" ht="20.25" customHeight="1" x14ac:dyDescent="0.25"/>
    <row r="270" ht="20.25" customHeight="1" x14ac:dyDescent="0.25"/>
    <row r="271" ht="20.25" customHeight="1" x14ac:dyDescent="0.25"/>
    <row r="272" ht="20.25" customHeight="1" x14ac:dyDescent="0.25"/>
    <row r="273" ht="20.25" customHeight="1" x14ac:dyDescent="0.25"/>
    <row r="274" ht="20.25" customHeight="1" x14ac:dyDescent="0.25"/>
    <row r="275" ht="20.25" customHeight="1" x14ac:dyDescent="0.25"/>
    <row r="276" ht="20.25" customHeight="1" x14ac:dyDescent="0.25"/>
    <row r="277" ht="20.25" customHeight="1" x14ac:dyDescent="0.25"/>
    <row r="278" ht="20.25" customHeight="1" x14ac:dyDescent="0.25"/>
    <row r="279" ht="20.25" customHeight="1" x14ac:dyDescent="0.25"/>
    <row r="280" ht="20.25" customHeight="1" x14ac:dyDescent="0.25"/>
    <row r="281" ht="20.25" customHeight="1" x14ac:dyDescent="0.25"/>
    <row r="282" ht="20.25" customHeight="1" x14ac:dyDescent="0.25"/>
    <row r="283" ht="20.25" customHeight="1" x14ac:dyDescent="0.25"/>
    <row r="284" ht="20.25" customHeight="1" x14ac:dyDescent="0.25"/>
    <row r="285" ht="20.25" customHeight="1" x14ac:dyDescent="0.25"/>
    <row r="286" ht="20.25" customHeight="1" x14ac:dyDescent="0.25"/>
    <row r="287" ht="20.25" customHeight="1" x14ac:dyDescent="0.25"/>
    <row r="288" ht="20.25" customHeight="1" x14ac:dyDescent="0.25"/>
    <row r="289" ht="20.25" customHeight="1" x14ac:dyDescent="0.25"/>
    <row r="290" ht="20.25" customHeight="1" x14ac:dyDescent="0.25"/>
    <row r="291" ht="20.25" customHeight="1" x14ac:dyDescent="0.25"/>
    <row r="292" ht="20.25" customHeight="1" x14ac:dyDescent="0.25"/>
    <row r="293" ht="20.25" customHeight="1" x14ac:dyDescent="0.25"/>
    <row r="294" ht="20.25" customHeight="1" x14ac:dyDescent="0.25"/>
    <row r="295" ht="20.25" customHeight="1" x14ac:dyDescent="0.25"/>
    <row r="296" ht="20.25" customHeight="1" x14ac:dyDescent="0.25"/>
    <row r="297" ht="20.25" customHeight="1" x14ac:dyDescent="0.25"/>
    <row r="298" ht="20.25" customHeight="1" x14ac:dyDescent="0.25"/>
    <row r="299" ht="20.25" customHeight="1" x14ac:dyDescent="0.25"/>
    <row r="300" ht="20.25" customHeight="1" x14ac:dyDescent="0.25"/>
    <row r="301" ht="20.25" customHeight="1" x14ac:dyDescent="0.25"/>
    <row r="302" ht="20.25" customHeight="1" x14ac:dyDescent="0.25"/>
    <row r="303" ht="20.25" customHeight="1" x14ac:dyDescent="0.25"/>
    <row r="304" ht="20.25" customHeight="1" x14ac:dyDescent="0.25"/>
    <row r="305" ht="20.25" customHeight="1" x14ac:dyDescent="0.25"/>
    <row r="306" ht="20.25" customHeight="1" x14ac:dyDescent="0.25"/>
    <row r="307" ht="20.25" customHeight="1" x14ac:dyDescent="0.25"/>
    <row r="308" ht="20.25" customHeight="1" x14ac:dyDescent="0.25"/>
    <row r="309" ht="20.25" customHeight="1" x14ac:dyDescent="0.25"/>
    <row r="310" ht="20.25" customHeight="1" x14ac:dyDescent="0.25"/>
    <row r="311" ht="20.25" customHeight="1" x14ac:dyDescent="0.25"/>
    <row r="312" ht="20.25" customHeight="1" x14ac:dyDescent="0.25"/>
    <row r="313" ht="20.25" customHeight="1" x14ac:dyDescent="0.25"/>
    <row r="314" ht="20.25" customHeight="1" x14ac:dyDescent="0.25"/>
    <row r="315" ht="20.25" customHeight="1" x14ac:dyDescent="0.25"/>
    <row r="316" ht="20.25" customHeight="1" x14ac:dyDescent="0.25"/>
    <row r="317" ht="20.25" customHeight="1" x14ac:dyDescent="0.25"/>
    <row r="318" ht="20.25" customHeight="1" x14ac:dyDescent="0.25"/>
    <row r="319" ht="20.25" customHeight="1" x14ac:dyDescent="0.25"/>
    <row r="320" ht="20.25" customHeight="1" x14ac:dyDescent="0.25"/>
    <row r="321" ht="20.25" customHeight="1" x14ac:dyDescent="0.25"/>
    <row r="322" ht="20.25" customHeight="1" x14ac:dyDescent="0.25"/>
    <row r="323" ht="20.25" customHeight="1" x14ac:dyDescent="0.25"/>
    <row r="324" ht="20.25" customHeight="1" x14ac:dyDescent="0.25"/>
    <row r="325" ht="20.25" customHeight="1" x14ac:dyDescent="0.25"/>
    <row r="326" ht="20.25" customHeight="1" x14ac:dyDescent="0.25"/>
    <row r="327" ht="20.25" customHeight="1" x14ac:dyDescent="0.25"/>
    <row r="328" ht="20.25" customHeight="1" x14ac:dyDescent="0.25"/>
    <row r="329" ht="20.25" customHeight="1" x14ac:dyDescent="0.25"/>
    <row r="330" ht="20.25" customHeight="1" x14ac:dyDescent="0.25"/>
    <row r="331" ht="20.25" customHeight="1" x14ac:dyDescent="0.25"/>
    <row r="332" ht="20.25" customHeight="1" x14ac:dyDescent="0.25"/>
    <row r="333" ht="20.25" customHeight="1" x14ac:dyDescent="0.25"/>
    <row r="334" ht="20.25" customHeight="1" x14ac:dyDescent="0.25"/>
    <row r="335" ht="20.25" customHeight="1" x14ac:dyDescent="0.25"/>
    <row r="336" ht="20.25" customHeight="1" x14ac:dyDescent="0.25"/>
    <row r="337" ht="20.25" customHeight="1" x14ac:dyDescent="0.25"/>
    <row r="338" ht="20.25" customHeight="1" x14ac:dyDescent="0.25"/>
    <row r="339" ht="20.25" customHeight="1" x14ac:dyDescent="0.25"/>
    <row r="340" ht="20.25" customHeight="1" x14ac:dyDescent="0.25"/>
    <row r="341" ht="20.25" customHeight="1" x14ac:dyDescent="0.25"/>
    <row r="342" ht="20.25" customHeight="1" x14ac:dyDescent="0.25"/>
    <row r="343" ht="20.25" customHeight="1" x14ac:dyDescent="0.25"/>
    <row r="344" ht="20.25" customHeight="1" x14ac:dyDescent="0.25"/>
    <row r="345" ht="20.25" customHeight="1" x14ac:dyDescent="0.25"/>
    <row r="346" ht="20.25" customHeight="1" x14ac:dyDescent="0.25"/>
    <row r="347" ht="20.25" customHeight="1" x14ac:dyDescent="0.25"/>
    <row r="348" ht="20.25" customHeight="1" x14ac:dyDescent="0.25"/>
    <row r="349" ht="20.25" customHeight="1" x14ac:dyDescent="0.25"/>
    <row r="350" ht="20.25" customHeight="1" x14ac:dyDescent="0.25"/>
    <row r="351" ht="20.25" customHeight="1" x14ac:dyDescent="0.25"/>
    <row r="352" ht="20.25" customHeight="1" x14ac:dyDescent="0.25"/>
    <row r="353" ht="20.25" customHeight="1" x14ac:dyDescent="0.25"/>
    <row r="354" ht="20.25" customHeight="1" x14ac:dyDescent="0.25"/>
    <row r="355" ht="20.25" customHeight="1" x14ac:dyDescent="0.25"/>
    <row r="356" ht="20.25" customHeight="1" x14ac:dyDescent="0.25"/>
    <row r="357" ht="20.25" customHeight="1" x14ac:dyDescent="0.25"/>
    <row r="358" ht="20.25" customHeight="1" x14ac:dyDescent="0.25"/>
    <row r="359" ht="20.25" customHeight="1" x14ac:dyDescent="0.25"/>
    <row r="360" ht="20.25" customHeight="1" x14ac:dyDescent="0.25"/>
    <row r="361" ht="20.25" customHeight="1" x14ac:dyDescent="0.25"/>
    <row r="362" ht="20.25" customHeight="1" x14ac:dyDescent="0.25"/>
    <row r="363" ht="20.25" customHeight="1" x14ac:dyDescent="0.25"/>
    <row r="364" ht="20.25" customHeight="1" x14ac:dyDescent="0.25"/>
    <row r="365" ht="20.25" customHeight="1" x14ac:dyDescent="0.25"/>
    <row r="366" ht="20.25" customHeight="1" x14ac:dyDescent="0.25"/>
    <row r="367" ht="20.25" customHeight="1" x14ac:dyDescent="0.25"/>
    <row r="368" ht="20.25" customHeight="1" x14ac:dyDescent="0.25"/>
    <row r="369" ht="20.25" customHeight="1" x14ac:dyDescent="0.25"/>
    <row r="370" ht="20.25" customHeight="1" x14ac:dyDescent="0.25"/>
    <row r="371" ht="20.25" customHeight="1" x14ac:dyDescent="0.25"/>
    <row r="372" ht="20.25" customHeight="1" x14ac:dyDescent="0.25"/>
    <row r="373" ht="20.25" customHeight="1" x14ac:dyDescent="0.25"/>
    <row r="374" ht="20.25" customHeight="1" x14ac:dyDescent="0.25"/>
    <row r="375" ht="20.25" customHeight="1" x14ac:dyDescent="0.25"/>
    <row r="376" ht="20.25" customHeight="1" x14ac:dyDescent="0.25"/>
    <row r="377" ht="20.25" customHeight="1" x14ac:dyDescent="0.25"/>
    <row r="378" ht="20.25" customHeight="1" x14ac:dyDescent="0.25"/>
    <row r="379" ht="20.25" customHeight="1" x14ac:dyDescent="0.25"/>
    <row r="380" ht="20.25" customHeight="1" x14ac:dyDescent="0.25"/>
    <row r="381" ht="20.25" customHeight="1" x14ac:dyDescent="0.25"/>
    <row r="382" ht="20.25" customHeight="1" x14ac:dyDescent="0.25"/>
    <row r="383" ht="20.25" customHeight="1" x14ac:dyDescent="0.25"/>
    <row r="384" ht="20.25" customHeight="1" x14ac:dyDescent="0.25"/>
    <row r="385" ht="20.25" customHeight="1" x14ac:dyDescent="0.25"/>
    <row r="386" ht="20.25" customHeight="1" x14ac:dyDescent="0.25"/>
    <row r="387" ht="20.25" customHeight="1" x14ac:dyDescent="0.25"/>
    <row r="388" ht="20.25" customHeight="1" x14ac:dyDescent="0.25"/>
    <row r="389" ht="20.25" customHeight="1" x14ac:dyDescent="0.25"/>
    <row r="390" ht="20.25" customHeight="1" x14ac:dyDescent="0.25"/>
    <row r="391" ht="20.25" customHeight="1" x14ac:dyDescent="0.25"/>
    <row r="392" ht="20.25" customHeight="1" x14ac:dyDescent="0.25"/>
    <row r="393" ht="20.25" customHeight="1" x14ac:dyDescent="0.25"/>
    <row r="394" ht="20.25" customHeight="1" x14ac:dyDescent="0.25"/>
    <row r="395" ht="20.25" customHeight="1" x14ac:dyDescent="0.25"/>
    <row r="396" ht="20.25" customHeight="1" x14ac:dyDescent="0.25"/>
    <row r="397" ht="20.25" customHeight="1" x14ac:dyDescent="0.25"/>
    <row r="398" ht="20.25" customHeight="1" x14ac:dyDescent="0.25"/>
    <row r="399" ht="20.25" customHeight="1" x14ac:dyDescent="0.25"/>
    <row r="400" ht="20.25" customHeight="1" x14ac:dyDescent="0.25"/>
    <row r="401" ht="20.25" customHeight="1" x14ac:dyDescent="0.25"/>
    <row r="402" ht="20.25" customHeight="1" x14ac:dyDescent="0.25"/>
    <row r="403" ht="20.25" customHeight="1" x14ac:dyDescent="0.25"/>
    <row r="404" ht="20.25" customHeight="1" x14ac:dyDescent="0.25"/>
    <row r="405" ht="20.25" customHeight="1" x14ac:dyDescent="0.25"/>
    <row r="406" ht="20.25" customHeight="1" x14ac:dyDescent="0.25"/>
    <row r="407" ht="20.25" customHeight="1" x14ac:dyDescent="0.25"/>
    <row r="408" ht="20.25" customHeight="1" x14ac:dyDescent="0.25"/>
    <row r="409" ht="20.25" customHeight="1" x14ac:dyDescent="0.25"/>
    <row r="410" ht="20.25" customHeight="1" x14ac:dyDescent="0.25"/>
    <row r="411" ht="20.25" customHeight="1" x14ac:dyDescent="0.25"/>
    <row r="412" ht="20.25" customHeight="1" x14ac:dyDescent="0.25"/>
    <row r="413" ht="20.25" customHeight="1" x14ac:dyDescent="0.25"/>
    <row r="414" ht="20.25" customHeight="1" x14ac:dyDescent="0.25"/>
    <row r="415" ht="20.25" customHeight="1" x14ac:dyDescent="0.25"/>
    <row r="416" ht="20.25" customHeight="1" x14ac:dyDescent="0.25"/>
    <row r="417" ht="20.25" customHeight="1" x14ac:dyDescent="0.25"/>
    <row r="418" ht="20.25" customHeight="1" x14ac:dyDescent="0.25"/>
    <row r="419" ht="20.25" customHeight="1" x14ac:dyDescent="0.25"/>
    <row r="420" ht="20.25" customHeight="1" x14ac:dyDescent="0.25"/>
    <row r="421" ht="20.25" customHeight="1" x14ac:dyDescent="0.25"/>
    <row r="422" ht="20.25" customHeight="1" x14ac:dyDescent="0.25"/>
    <row r="423" ht="20.25" customHeight="1" x14ac:dyDescent="0.25"/>
    <row r="424" ht="20.25" customHeight="1" x14ac:dyDescent="0.25"/>
    <row r="425" ht="20.25" customHeight="1" x14ac:dyDescent="0.25"/>
    <row r="426" ht="20.25" customHeight="1" x14ac:dyDescent="0.25"/>
    <row r="427" ht="20.25" customHeight="1" x14ac:dyDescent="0.25"/>
    <row r="428" ht="20.25" customHeight="1" x14ac:dyDescent="0.25"/>
    <row r="429" ht="20.25" customHeight="1" x14ac:dyDescent="0.25"/>
    <row r="430" ht="20.25" customHeight="1" x14ac:dyDescent="0.25"/>
    <row r="431" ht="20.25" customHeight="1" x14ac:dyDescent="0.25"/>
    <row r="432" ht="20.25" customHeight="1" x14ac:dyDescent="0.25"/>
    <row r="433" ht="20.25" customHeight="1" x14ac:dyDescent="0.25"/>
    <row r="434" ht="20.25" customHeight="1" x14ac:dyDescent="0.25"/>
    <row r="435" ht="20.25" customHeight="1" x14ac:dyDescent="0.25"/>
    <row r="436" ht="20.25" customHeight="1" x14ac:dyDescent="0.25"/>
    <row r="437" ht="20.25" customHeight="1" x14ac:dyDescent="0.25"/>
    <row r="438" ht="20.25" customHeight="1" x14ac:dyDescent="0.25"/>
    <row r="439" ht="20.25" customHeight="1" x14ac:dyDescent="0.25"/>
    <row r="440" ht="20.25" customHeight="1" x14ac:dyDescent="0.25"/>
    <row r="441" ht="20.25" customHeight="1" x14ac:dyDescent="0.25"/>
    <row r="442" ht="20.25" customHeight="1" x14ac:dyDescent="0.25"/>
    <row r="443" ht="20.25" customHeight="1" x14ac:dyDescent="0.25"/>
    <row r="444" ht="20.25" customHeight="1" x14ac:dyDescent="0.25"/>
    <row r="445" ht="20.25" customHeight="1" x14ac:dyDescent="0.25"/>
    <row r="446" ht="20.25" customHeight="1" x14ac:dyDescent="0.25"/>
    <row r="447" ht="20.25" customHeight="1" x14ac:dyDescent="0.25"/>
    <row r="448" ht="20.25" customHeight="1" x14ac:dyDescent="0.25"/>
    <row r="449" ht="20.25" customHeight="1" x14ac:dyDescent="0.25"/>
    <row r="450" ht="20.25" customHeight="1" x14ac:dyDescent="0.25"/>
    <row r="451" ht="20.25" customHeight="1" x14ac:dyDescent="0.25"/>
    <row r="452" ht="20.25" customHeight="1" x14ac:dyDescent="0.25"/>
    <row r="453" ht="20.25" customHeight="1" x14ac:dyDescent="0.25"/>
    <row r="454" ht="20.25" customHeight="1" x14ac:dyDescent="0.25"/>
    <row r="455" ht="20.25" customHeight="1" x14ac:dyDescent="0.25"/>
    <row r="456" ht="20.25" customHeight="1" x14ac:dyDescent="0.25"/>
    <row r="457" ht="20.25" customHeight="1" x14ac:dyDescent="0.25"/>
    <row r="458" ht="20.25" customHeight="1" x14ac:dyDescent="0.25"/>
    <row r="459" ht="20.25" customHeight="1" x14ac:dyDescent="0.25"/>
    <row r="460" ht="20.25" customHeight="1" x14ac:dyDescent="0.25"/>
    <row r="461" ht="20.25" customHeight="1" x14ac:dyDescent="0.25"/>
    <row r="462" ht="20.25" customHeight="1" x14ac:dyDescent="0.25"/>
    <row r="463" ht="20.25" customHeight="1" x14ac:dyDescent="0.25"/>
    <row r="464" ht="20.25" customHeight="1" x14ac:dyDescent="0.25"/>
    <row r="465" ht="20.25" customHeight="1" x14ac:dyDescent="0.25"/>
    <row r="466" ht="20.25" customHeight="1" x14ac:dyDescent="0.25"/>
    <row r="467" ht="20.25" customHeight="1" x14ac:dyDescent="0.25"/>
    <row r="468" ht="20.25" customHeight="1" x14ac:dyDescent="0.25"/>
    <row r="469" ht="20.25" customHeight="1" x14ac:dyDescent="0.25"/>
    <row r="470" ht="20.25" customHeight="1" x14ac:dyDescent="0.25"/>
    <row r="471" ht="20.25" customHeight="1" x14ac:dyDescent="0.25"/>
    <row r="472" ht="20.25" customHeight="1" x14ac:dyDescent="0.25"/>
    <row r="473" ht="20.25" customHeight="1" x14ac:dyDescent="0.25"/>
    <row r="474" ht="20.25" customHeight="1" x14ac:dyDescent="0.25"/>
    <row r="475" ht="20.25" customHeight="1" x14ac:dyDescent="0.25"/>
    <row r="476" ht="20.25" customHeight="1" x14ac:dyDescent="0.25"/>
    <row r="477" ht="20.25" customHeight="1" x14ac:dyDescent="0.25"/>
    <row r="478" ht="20.25" customHeight="1" x14ac:dyDescent="0.25"/>
    <row r="479" ht="20.25" customHeight="1" x14ac:dyDescent="0.25"/>
    <row r="480" ht="20.25" customHeight="1" x14ac:dyDescent="0.25"/>
    <row r="481" ht="20.25" customHeight="1" x14ac:dyDescent="0.25"/>
    <row r="482" ht="20.25" customHeight="1" x14ac:dyDescent="0.25"/>
    <row r="483" ht="20.25" customHeight="1" x14ac:dyDescent="0.25"/>
    <row r="484" ht="20.25" customHeight="1" x14ac:dyDescent="0.25"/>
    <row r="485" ht="20.25" customHeight="1" x14ac:dyDescent="0.25"/>
    <row r="486" ht="20.25" customHeight="1" x14ac:dyDescent="0.25"/>
    <row r="487" ht="20.25" customHeight="1" x14ac:dyDescent="0.25"/>
    <row r="488" ht="20.25" customHeight="1" x14ac:dyDescent="0.25"/>
    <row r="489" ht="20.25" customHeight="1" x14ac:dyDescent="0.25"/>
    <row r="490" ht="20.25" customHeight="1" x14ac:dyDescent="0.25"/>
    <row r="491" ht="20.25" customHeight="1" x14ac:dyDescent="0.25"/>
    <row r="492" ht="20.25" customHeight="1" x14ac:dyDescent="0.25"/>
    <row r="493" ht="20.25" customHeight="1" x14ac:dyDescent="0.25"/>
    <row r="494" ht="20.25" customHeight="1" x14ac:dyDescent="0.25"/>
    <row r="495" ht="20.25" customHeight="1" x14ac:dyDescent="0.25"/>
    <row r="496" ht="20.25" customHeight="1" x14ac:dyDescent="0.25"/>
    <row r="497" ht="20.25" customHeight="1" x14ac:dyDescent="0.25"/>
    <row r="498" ht="20.25" customHeight="1" x14ac:dyDescent="0.25"/>
    <row r="499" ht="20.25" customHeight="1" x14ac:dyDescent="0.25"/>
    <row r="500" ht="20.25" customHeight="1" x14ac:dyDescent="0.25"/>
    <row r="501" ht="20.25" customHeight="1" x14ac:dyDescent="0.25"/>
    <row r="502" ht="20.25" customHeight="1" x14ac:dyDescent="0.25"/>
    <row r="503" ht="20.25" customHeight="1" x14ac:dyDescent="0.25"/>
    <row r="504" ht="20.25" customHeight="1" x14ac:dyDescent="0.25"/>
    <row r="505" ht="20.25" customHeight="1" x14ac:dyDescent="0.25"/>
    <row r="506" ht="20.25" customHeight="1" x14ac:dyDescent="0.25"/>
    <row r="507" ht="20.25" customHeight="1" x14ac:dyDescent="0.25"/>
    <row r="508" ht="20.25" customHeight="1" x14ac:dyDescent="0.25"/>
    <row r="509" ht="20.25" customHeight="1" x14ac:dyDescent="0.25"/>
    <row r="510" ht="20.25" customHeight="1" x14ac:dyDescent="0.25"/>
    <row r="511" ht="20.25" customHeight="1" x14ac:dyDescent="0.25"/>
    <row r="512" ht="20.25" customHeight="1" x14ac:dyDescent="0.25"/>
    <row r="513" ht="20.25" customHeight="1" x14ac:dyDescent="0.25"/>
    <row r="514" ht="20.25" customHeight="1" x14ac:dyDescent="0.25"/>
    <row r="515" ht="20.25" customHeight="1" x14ac:dyDescent="0.25"/>
    <row r="516" ht="20.25" customHeight="1" x14ac:dyDescent="0.25"/>
    <row r="517" ht="20.25" customHeight="1" x14ac:dyDescent="0.25"/>
    <row r="518" ht="20.25" customHeight="1" x14ac:dyDescent="0.25"/>
    <row r="519" ht="20.25" customHeight="1" x14ac:dyDescent="0.25"/>
    <row r="520" ht="20.25" customHeight="1" x14ac:dyDescent="0.25"/>
    <row r="521" ht="20.25" customHeight="1" x14ac:dyDescent="0.25"/>
    <row r="522" ht="20.25" customHeight="1" x14ac:dyDescent="0.25"/>
    <row r="523" ht="20.25" customHeight="1" x14ac:dyDescent="0.25"/>
    <row r="524" ht="20.25" customHeight="1" x14ac:dyDescent="0.25"/>
    <row r="525" ht="20.25" customHeight="1" x14ac:dyDescent="0.25"/>
    <row r="526" ht="20.25" customHeight="1" x14ac:dyDescent="0.25"/>
    <row r="527" ht="20.25" customHeight="1" x14ac:dyDescent="0.25"/>
    <row r="528" ht="20.25" customHeight="1" x14ac:dyDescent="0.25"/>
    <row r="529" ht="20.25" customHeight="1" x14ac:dyDescent="0.25"/>
    <row r="530" ht="20.25" customHeight="1" x14ac:dyDescent="0.25"/>
    <row r="531" ht="20.25" customHeight="1" x14ac:dyDescent="0.25"/>
    <row r="532" ht="20.25" customHeight="1" x14ac:dyDescent="0.25"/>
    <row r="533" ht="20.25" customHeight="1" x14ac:dyDescent="0.25"/>
    <row r="534" ht="20.25" customHeight="1" x14ac:dyDescent="0.25"/>
    <row r="535" ht="20.25" customHeight="1" x14ac:dyDescent="0.25"/>
    <row r="536" ht="20.25" customHeight="1" x14ac:dyDescent="0.25"/>
    <row r="537" ht="20.25" customHeight="1" x14ac:dyDescent="0.25"/>
    <row r="538" ht="20.25" customHeight="1" x14ac:dyDescent="0.25"/>
    <row r="539" ht="20.25" customHeight="1" x14ac:dyDescent="0.25"/>
    <row r="540" ht="20.25" customHeight="1" x14ac:dyDescent="0.25"/>
    <row r="541" ht="20.25" customHeight="1" x14ac:dyDescent="0.25"/>
    <row r="542" ht="20.25" customHeight="1" x14ac:dyDescent="0.25"/>
    <row r="543" ht="20.25" customHeight="1" x14ac:dyDescent="0.25"/>
    <row r="544" ht="20.25" customHeight="1" x14ac:dyDescent="0.25"/>
    <row r="545" ht="20.25" customHeight="1" x14ac:dyDescent="0.25"/>
    <row r="546" ht="20.25" customHeight="1" x14ac:dyDescent="0.25"/>
    <row r="547" ht="20.25" customHeight="1" x14ac:dyDescent="0.25"/>
    <row r="548" ht="20.25" customHeight="1" x14ac:dyDescent="0.25"/>
    <row r="549" ht="20.25" customHeight="1" x14ac:dyDescent="0.25"/>
    <row r="550" ht="20.25" customHeight="1" x14ac:dyDescent="0.25"/>
    <row r="551" ht="20.25" customHeight="1" x14ac:dyDescent="0.25"/>
    <row r="552" ht="20.25" customHeight="1" x14ac:dyDescent="0.25"/>
    <row r="553" ht="20.25" customHeight="1" x14ac:dyDescent="0.25"/>
    <row r="554" ht="20.25" customHeight="1" x14ac:dyDescent="0.25"/>
    <row r="555" ht="20.25" customHeight="1" x14ac:dyDescent="0.25"/>
    <row r="556" ht="20.25" customHeight="1" x14ac:dyDescent="0.25"/>
    <row r="557" ht="20.25" customHeight="1" x14ac:dyDescent="0.25"/>
    <row r="558" ht="20.25" customHeight="1" x14ac:dyDescent="0.25"/>
    <row r="559" ht="20.25" customHeight="1" x14ac:dyDescent="0.25"/>
    <row r="560" ht="20.25" customHeight="1" x14ac:dyDescent="0.25"/>
    <row r="561" ht="20.25" customHeight="1" x14ac:dyDescent="0.25"/>
    <row r="562" ht="20.25" customHeight="1" x14ac:dyDescent="0.25"/>
    <row r="563" ht="20.25" customHeight="1" x14ac:dyDescent="0.25"/>
    <row r="564" ht="20.25" customHeight="1" x14ac:dyDescent="0.25"/>
    <row r="565" ht="20.25" customHeight="1" x14ac:dyDescent="0.25"/>
    <row r="566" ht="20.25" customHeight="1" x14ac:dyDescent="0.25"/>
    <row r="567" ht="20.25" customHeight="1" x14ac:dyDescent="0.25"/>
    <row r="568" ht="20.25" customHeight="1" x14ac:dyDescent="0.25"/>
    <row r="569" ht="20.25" customHeight="1" x14ac:dyDescent="0.25"/>
    <row r="570" ht="20.25" customHeight="1" x14ac:dyDescent="0.25"/>
    <row r="571" ht="20.25" customHeight="1" x14ac:dyDescent="0.25"/>
    <row r="572" ht="20.25" customHeight="1" x14ac:dyDescent="0.25"/>
    <row r="573" ht="20.25" customHeight="1" x14ac:dyDescent="0.25"/>
    <row r="574" ht="20.25" customHeight="1" x14ac:dyDescent="0.25"/>
    <row r="575" ht="20.25" customHeight="1" x14ac:dyDescent="0.25"/>
    <row r="576" ht="20.25" customHeight="1" x14ac:dyDescent="0.25"/>
    <row r="577" ht="20.25" customHeight="1" x14ac:dyDescent="0.25"/>
    <row r="578" ht="20.25" customHeight="1" x14ac:dyDescent="0.25"/>
    <row r="579" ht="20.25" customHeight="1" x14ac:dyDescent="0.25"/>
    <row r="580" ht="20.25" customHeight="1" x14ac:dyDescent="0.25"/>
    <row r="581" ht="20.25" customHeight="1" x14ac:dyDescent="0.25"/>
    <row r="582" ht="20.25" customHeight="1" x14ac:dyDescent="0.25"/>
    <row r="583" ht="20.25" customHeight="1" x14ac:dyDescent="0.25"/>
    <row r="584" ht="20.25" customHeight="1" x14ac:dyDescent="0.25"/>
    <row r="585" ht="20.25" customHeight="1" x14ac:dyDescent="0.25"/>
    <row r="586" ht="20.25" customHeight="1" x14ac:dyDescent="0.25"/>
    <row r="587" ht="20.25" customHeight="1" x14ac:dyDescent="0.25"/>
    <row r="588" ht="20.25" customHeight="1" x14ac:dyDescent="0.25"/>
    <row r="589" ht="20.25" customHeight="1" x14ac:dyDescent="0.25"/>
    <row r="590" ht="20.25" customHeight="1" x14ac:dyDescent="0.25"/>
    <row r="591" ht="20.25" customHeight="1" x14ac:dyDescent="0.25"/>
    <row r="592" ht="20.25" customHeight="1" x14ac:dyDescent="0.25"/>
    <row r="593" ht="20.25" customHeight="1" x14ac:dyDescent="0.25"/>
    <row r="594" ht="20.25" customHeight="1" x14ac:dyDescent="0.25"/>
    <row r="595" ht="20.25" customHeight="1" x14ac:dyDescent="0.25"/>
    <row r="596" ht="20.25" customHeight="1" x14ac:dyDescent="0.25"/>
    <row r="597" ht="20.25" customHeight="1" x14ac:dyDescent="0.25"/>
    <row r="598" ht="20.25" customHeight="1" x14ac:dyDescent="0.25"/>
    <row r="599" ht="20.25" customHeight="1" x14ac:dyDescent="0.25"/>
    <row r="600" ht="20.25" customHeight="1" x14ac:dyDescent="0.25"/>
    <row r="601" ht="20.25" customHeight="1" x14ac:dyDescent="0.25"/>
    <row r="602" ht="20.25" customHeight="1" x14ac:dyDescent="0.25"/>
    <row r="603" ht="20.25" customHeight="1" x14ac:dyDescent="0.25"/>
    <row r="604" ht="20.25" customHeight="1" x14ac:dyDescent="0.25"/>
    <row r="605" ht="20.25" customHeight="1" x14ac:dyDescent="0.25"/>
    <row r="606" ht="20.25" customHeight="1" x14ac:dyDescent="0.25"/>
    <row r="607" ht="20.25" customHeight="1" x14ac:dyDescent="0.25"/>
    <row r="608" ht="20.25" customHeight="1" x14ac:dyDescent="0.25"/>
    <row r="609" ht="20.25" customHeight="1" x14ac:dyDescent="0.25"/>
    <row r="610" ht="20.25" customHeight="1" x14ac:dyDescent="0.25"/>
    <row r="611" ht="20.25" customHeight="1" x14ac:dyDescent="0.25"/>
    <row r="612" ht="20.25" customHeight="1" x14ac:dyDescent="0.25"/>
    <row r="613" ht="20.25" customHeight="1" x14ac:dyDescent="0.25"/>
    <row r="614" ht="20.25" customHeight="1" x14ac:dyDescent="0.25"/>
    <row r="615" ht="20.25" customHeight="1" x14ac:dyDescent="0.25"/>
    <row r="616" ht="20.25" customHeight="1" x14ac:dyDescent="0.25"/>
    <row r="617" ht="20.25" customHeight="1" x14ac:dyDescent="0.25"/>
    <row r="618" ht="20.25" customHeight="1" x14ac:dyDescent="0.25"/>
    <row r="619" ht="20.25" customHeight="1" x14ac:dyDescent="0.25"/>
    <row r="620" ht="20.25" customHeight="1" x14ac:dyDescent="0.25"/>
    <row r="621" ht="20.25" customHeight="1" x14ac:dyDescent="0.25"/>
    <row r="622" ht="20.25" customHeight="1" x14ac:dyDescent="0.25"/>
    <row r="623" ht="20.25" customHeight="1" x14ac:dyDescent="0.25"/>
    <row r="624" ht="20.25" customHeight="1" x14ac:dyDescent="0.25"/>
    <row r="625" ht="20.25" customHeight="1" x14ac:dyDescent="0.25"/>
    <row r="626" ht="20.25" customHeight="1" x14ac:dyDescent="0.25"/>
    <row r="627" ht="20.25" customHeight="1" x14ac:dyDescent="0.25"/>
    <row r="628" ht="20.25" customHeight="1" x14ac:dyDescent="0.25"/>
    <row r="629" ht="20.25" customHeight="1" x14ac:dyDescent="0.25"/>
    <row r="630" ht="20.25" customHeight="1" x14ac:dyDescent="0.25"/>
    <row r="631" ht="20.25" customHeight="1" x14ac:dyDescent="0.25"/>
    <row r="632" ht="20.25" customHeight="1" x14ac:dyDescent="0.25"/>
    <row r="633" ht="20.25" customHeight="1" x14ac:dyDescent="0.25"/>
    <row r="634" ht="20.25" customHeight="1" x14ac:dyDescent="0.25"/>
    <row r="635" ht="20.25" customHeight="1" x14ac:dyDescent="0.25"/>
    <row r="636" ht="20.25" customHeight="1" x14ac:dyDescent="0.25"/>
    <row r="637" ht="20.25" customHeight="1" x14ac:dyDescent="0.25"/>
    <row r="638" ht="20.25" customHeight="1" x14ac:dyDescent="0.25"/>
    <row r="639" ht="20.25" customHeight="1" x14ac:dyDescent="0.25"/>
    <row r="640" ht="20.25" customHeight="1" x14ac:dyDescent="0.25"/>
    <row r="641" ht="20.25" customHeight="1" x14ac:dyDescent="0.25"/>
    <row r="642" ht="20.25" customHeight="1" x14ac:dyDescent="0.25"/>
    <row r="643" ht="20.25" customHeight="1" x14ac:dyDescent="0.25"/>
    <row r="644" ht="20.25" customHeight="1" x14ac:dyDescent="0.25"/>
    <row r="645" ht="20.25" customHeight="1" x14ac:dyDescent="0.25"/>
    <row r="646" ht="20.25" customHeight="1" x14ac:dyDescent="0.25"/>
    <row r="647" ht="20.25" customHeight="1" x14ac:dyDescent="0.25"/>
    <row r="648" ht="20.25" customHeight="1" x14ac:dyDescent="0.25"/>
    <row r="649" ht="20.25" customHeight="1" x14ac:dyDescent="0.25"/>
    <row r="650" ht="20.25" customHeight="1" x14ac:dyDescent="0.25"/>
    <row r="651" ht="20.25" customHeight="1" x14ac:dyDescent="0.25"/>
    <row r="652" ht="20.25" customHeight="1" x14ac:dyDescent="0.25"/>
    <row r="653" ht="20.25" customHeight="1" x14ac:dyDescent="0.25"/>
    <row r="654" ht="20.25" customHeight="1" x14ac:dyDescent="0.25"/>
    <row r="655" ht="20.25" customHeight="1" x14ac:dyDescent="0.25"/>
    <row r="656" ht="20.25" customHeight="1" x14ac:dyDescent="0.25"/>
    <row r="657" ht="20.25" customHeight="1" x14ac:dyDescent="0.25"/>
    <row r="658" ht="20.25" customHeight="1" x14ac:dyDescent="0.25"/>
    <row r="659" ht="20.25" customHeight="1" x14ac:dyDescent="0.25"/>
    <row r="660" ht="20.25" customHeight="1" x14ac:dyDescent="0.25"/>
    <row r="661" ht="20.25" customHeight="1" x14ac:dyDescent="0.25"/>
    <row r="662" ht="20.25" customHeight="1" x14ac:dyDescent="0.25"/>
    <row r="663" ht="20.25" customHeight="1" x14ac:dyDescent="0.25"/>
    <row r="664" ht="20.25" customHeight="1" x14ac:dyDescent="0.25"/>
    <row r="665" ht="20.25" customHeight="1" x14ac:dyDescent="0.25"/>
    <row r="666" ht="20.25" customHeight="1" x14ac:dyDescent="0.25"/>
    <row r="667" ht="20.25" customHeight="1" x14ac:dyDescent="0.25"/>
    <row r="668" ht="20.25" customHeight="1" x14ac:dyDescent="0.25"/>
    <row r="669" ht="20.25" customHeight="1" x14ac:dyDescent="0.25"/>
    <row r="670" ht="20.25" customHeight="1" x14ac:dyDescent="0.25"/>
    <row r="671" ht="20.25" customHeight="1" x14ac:dyDescent="0.25"/>
    <row r="672" ht="20.25" customHeight="1" x14ac:dyDescent="0.25"/>
    <row r="673" ht="20.25" customHeight="1" x14ac:dyDescent="0.25"/>
    <row r="674" ht="20.25" customHeight="1" x14ac:dyDescent="0.25"/>
    <row r="675" ht="20.25" customHeight="1" x14ac:dyDescent="0.25"/>
    <row r="676" ht="20.25" customHeight="1" x14ac:dyDescent="0.25"/>
    <row r="677" ht="20.25" customHeight="1" x14ac:dyDescent="0.25"/>
    <row r="678" ht="20.25" customHeight="1" x14ac:dyDescent="0.25"/>
    <row r="679" ht="20.25" customHeight="1" x14ac:dyDescent="0.25"/>
    <row r="680" ht="20.25" customHeight="1" x14ac:dyDescent="0.25"/>
    <row r="681" ht="20.25" customHeight="1" x14ac:dyDescent="0.25"/>
    <row r="682" ht="20.25" customHeight="1" x14ac:dyDescent="0.25"/>
    <row r="683" ht="20.25" customHeight="1" x14ac:dyDescent="0.25"/>
    <row r="684" ht="20.25" customHeight="1" x14ac:dyDescent="0.25"/>
    <row r="685" ht="20.25" customHeight="1" x14ac:dyDescent="0.25"/>
    <row r="686" ht="20.25" customHeight="1" x14ac:dyDescent="0.25"/>
    <row r="687" ht="20.25" customHeight="1" x14ac:dyDescent="0.25"/>
    <row r="688" ht="20.25" customHeight="1" x14ac:dyDescent="0.25"/>
    <row r="689" ht="20.25" customHeight="1" x14ac:dyDescent="0.25"/>
    <row r="690" ht="20.25" customHeight="1" x14ac:dyDescent="0.25"/>
    <row r="691" ht="20.25" customHeight="1" x14ac:dyDescent="0.25"/>
    <row r="692" ht="20.25" customHeight="1" x14ac:dyDescent="0.25"/>
    <row r="693" ht="20.25" customHeight="1" x14ac:dyDescent="0.25"/>
    <row r="694" ht="20.25" customHeight="1" x14ac:dyDescent="0.25"/>
    <row r="695" ht="20.25" customHeight="1" x14ac:dyDescent="0.25"/>
    <row r="696" ht="20.25" customHeight="1" x14ac:dyDescent="0.25"/>
    <row r="697" ht="20.25" customHeight="1" x14ac:dyDescent="0.25"/>
    <row r="698" ht="20.25" customHeight="1" x14ac:dyDescent="0.25"/>
    <row r="699" ht="20.25" customHeight="1" x14ac:dyDescent="0.25"/>
    <row r="700" ht="20.25" customHeight="1" x14ac:dyDescent="0.25"/>
    <row r="701" ht="20.25" customHeight="1" x14ac:dyDescent="0.25"/>
    <row r="702" ht="20.25" customHeight="1" x14ac:dyDescent="0.25"/>
    <row r="703" ht="20.25" customHeight="1" x14ac:dyDescent="0.25"/>
    <row r="704" ht="20.25" customHeight="1" x14ac:dyDescent="0.25"/>
    <row r="705" ht="20.25" customHeight="1" x14ac:dyDescent="0.25"/>
    <row r="706" ht="20.25" customHeight="1" x14ac:dyDescent="0.25"/>
    <row r="707" ht="20.25" customHeight="1" x14ac:dyDescent="0.25"/>
    <row r="708" ht="20.25" customHeight="1" x14ac:dyDescent="0.25"/>
    <row r="709" ht="20.25" customHeight="1" x14ac:dyDescent="0.25"/>
    <row r="710" ht="20.25" customHeight="1" x14ac:dyDescent="0.25"/>
    <row r="711" ht="20.25" customHeight="1" x14ac:dyDescent="0.25"/>
    <row r="712" ht="20.25" customHeight="1" x14ac:dyDescent="0.25"/>
    <row r="713" ht="20.25" customHeight="1" x14ac:dyDescent="0.25"/>
    <row r="714" ht="20.25" customHeight="1" x14ac:dyDescent="0.25"/>
    <row r="715" ht="20.25" customHeight="1" x14ac:dyDescent="0.25"/>
    <row r="716" ht="20.25" customHeight="1" x14ac:dyDescent="0.25"/>
    <row r="717" ht="20.25" customHeight="1" x14ac:dyDescent="0.25"/>
    <row r="718" ht="20.25" customHeight="1" x14ac:dyDescent="0.25"/>
    <row r="719" ht="20.25" customHeight="1" x14ac:dyDescent="0.25"/>
    <row r="720" ht="20.25" customHeight="1" x14ac:dyDescent="0.25"/>
    <row r="721" ht="20.25" customHeight="1" x14ac:dyDescent="0.25"/>
    <row r="722" ht="20.25" customHeight="1" x14ac:dyDescent="0.25"/>
    <row r="723" ht="20.25" customHeight="1" x14ac:dyDescent="0.25"/>
    <row r="724" ht="20.25" customHeight="1" x14ac:dyDescent="0.25"/>
    <row r="725" ht="20.25" customHeight="1" x14ac:dyDescent="0.25"/>
    <row r="726" ht="20.25" customHeight="1" x14ac:dyDescent="0.25"/>
    <row r="727" ht="20.25" customHeight="1" x14ac:dyDescent="0.25"/>
    <row r="728" ht="20.25" customHeight="1" x14ac:dyDescent="0.25"/>
    <row r="729" ht="20.25" customHeight="1" x14ac:dyDescent="0.25"/>
    <row r="730" ht="20.25" customHeight="1" x14ac:dyDescent="0.25"/>
    <row r="731" ht="20.25" customHeight="1" x14ac:dyDescent="0.25"/>
    <row r="732" ht="20.25" customHeight="1" x14ac:dyDescent="0.25"/>
    <row r="733" ht="20.25" customHeight="1" x14ac:dyDescent="0.25"/>
    <row r="734" ht="20.25" customHeight="1" x14ac:dyDescent="0.25"/>
    <row r="735" ht="20.25" customHeight="1" x14ac:dyDescent="0.25"/>
    <row r="736" ht="20.25" customHeight="1" x14ac:dyDescent="0.25"/>
    <row r="737" ht="20.25" customHeight="1" x14ac:dyDescent="0.25"/>
    <row r="738" ht="20.25" customHeight="1" x14ac:dyDescent="0.25"/>
    <row r="739" ht="20.25" customHeight="1" x14ac:dyDescent="0.25"/>
    <row r="740" ht="20.25" customHeight="1" x14ac:dyDescent="0.25"/>
    <row r="741" ht="20.25" customHeight="1" x14ac:dyDescent="0.25"/>
    <row r="742" ht="20.25" customHeight="1" x14ac:dyDescent="0.25"/>
    <row r="743" ht="20.25" customHeight="1" x14ac:dyDescent="0.25"/>
    <row r="744" ht="20.25" customHeight="1" x14ac:dyDescent="0.25"/>
    <row r="745" ht="20.25" customHeight="1" x14ac:dyDescent="0.25"/>
    <row r="746" ht="20.25" customHeight="1" x14ac:dyDescent="0.25"/>
    <row r="747" ht="20.25" customHeight="1" x14ac:dyDescent="0.25"/>
    <row r="748" ht="20.25" customHeight="1" x14ac:dyDescent="0.25"/>
    <row r="749" ht="20.25" customHeight="1" x14ac:dyDescent="0.25"/>
    <row r="750" ht="20.25" customHeight="1" x14ac:dyDescent="0.25"/>
    <row r="751" ht="20.25" customHeight="1" x14ac:dyDescent="0.25"/>
    <row r="752" ht="20.25" customHeight="1" x14ac:dyDescent="0.25"/>
    <row r="753" ht="20.25" customHeight="1" x14ac:dyDescent="0.25"/>
    <row r="754" ht="20.25" customHeight="1" x14ac:dyDescent="0.25"/>
    <row r="755" ht="20.25" customHeight="1" x14ac:dyDescent="0.25"/>
    <row r="756" ht="20.25" customHeight="1" x14ac:dyDescent="0.25"/>
    <row r="757" ht="20.25" customHeight="1" x14ac:dyDescent="0.25"/>
    <row r="758" ht="20.25" customHeight="1" x14ac:dyDescent="0.25"/>
    <row r="759" ht="20.25" customHeight="1" x14ac:dyDescent="0.25"/>
    <row r="760" ht="20.25" customHeight="1" x14ac:dyDescent="0.25"/>
    <row r="761" ht="20.25" customHeight="1" x14ac:dyDescent="0.25"/>
    <row r="762" ht="20.25" customHeight="1" x14ac:dyDescent="0.25"/>
    <row r="763" ht="20.25" customHeight="1" x14ac:dyDescent="0.25"/>
    <row r="764" ht="20.25" customHeight="1" x14ac:dyDescent="0.25"/>
    <row r="765" ht="20.25" customHeight="1" x14ac:dyDescent="0.25"/>
    <row r="766" ht="20.25" customHeight="1" x14ac:dyDescent="0.25"/>
    <row r="767" ht="20.25" customHeight="1" x14ac:dyDescent="0.25"/>
    <row r="768" ht="20.25" customHeight="1" x14ac:dyDescent="0.25"/>
    <row r="769" ht="20.25" customHeight="1" x14ac:dyDescent="0.25"/>
    <row r="770" ht="20.25" customHeight="1" x14ac:dyDescent="0.25"/>
    <row r="771" ht="20.25" customHeight="1" x14ac:dyDescent="0.25"/>
    <row r="772" ht="20.25" customHeight="1" x14ac:dyDescent="0.25"/>
    <row r="773" ht="20.25" customHeight="1" x14ac:dyDescent="0.25"/>
    <row r="774" ht="20.25" customHeight="1" x14ac:dyDescent="0.25"/>
    <row r="775" ht="20.25" customHeight="1" x14ac:dyDescent="0.25"/>
    <row r="776" ht="20.25" customHeight="1" x14ac:dyDescent="0.25"/>
    <row r="777" ht="20.25" customHeight="1" x14ac:dyDescent="0.25"/>
    <row r="778" ht="20.25" customHeight="1" x14ac:dyDescent="0.25"/>
    <row r="779" ht="20.25" customHeight="1" x14ac:dyDescent="0.25"/>
    <row r="780" ht="20.25" customHeight="1" x14ac:dyDescent="0.25"/>
    <row r="781" ht="20.25" customHeight="1" x14ac:dyDescent="0.25"/>
    <row r="782" ht="20.25" customHeight="1" x14ac:dyDescent="0.25"/>
    <row r="783" ht="20.25" customHeight="1" x14ac:dyDescent="0.25"/>
    <row r="784" ht="20.25" customHeight="1" x14ac:dyDescent="0.25"/>
    <row r="785" ht="20.25" customHeight="1" x14ac:dyDescent="0.25"/>
    <row r="786" ht="20.25" customHeight="1" x14ac:dyDescent="0.25"/>
    <row r="787" ht="20.25" customHeight="1" x14ac:dyDescent="0.25"/>
    <row r="788" ht="20.25" customHeight="1" x14ac:dyDescent="0.25"/>
    <row r="789" ht="20.25" customHeight="1" x14ac:dyDescent="0.25"/>
    <row r="790" ht="20.25" customHeight="1" x14ac:dyDescent="0.25"/>
    <row r="791" ht="20.25" customHeight="1" x14ac:dyDescent="0.25"/>
    <row r="792" ht="20.25" customHeight="1" x14ac:dyDescent="0.25"/>
    <row r="793" ht="20.25" customHeight="1" x14ac:dyDescent="0.25"/>
    <row r="794" ht="20.25" customHeight="1" x14ac:dyDescent="0.25"/>
    <row r="795" ht="20.25" customHeight="1" x14ac:dyDescent="0.25"/>
    <row r="796" ht="20.25" customHeight="1" x14ac:dyDescent="0.25"/>
    <row r="797" ht="20.25" customHeight="1" x14ac:dyDescent="0.25"/>
    <row r="798" ht="20.25" customHeight="1" x14ac:dyDescent="0.25"/>
    <row r="799" ht="20.25" customHeight="1" x14ac:dyDescent="0.25"/>
    <row r="800" ht="20.25" customHeight="1" x14ac:dyDescent="0.25"/>
    <row r="801" ht="20.25" customHeight="1" x14ac:dyDescent="0.25"/>
    <row r="802" ht="20.25" customHeight="1" x14ac:dyDescent="0.25"/>
    <row r="803" ht="20.25" customHeight="1" x14ac:dyDescent="0.25"/>
    <row r="804" ht="20.25" customHeight="1" x14ac:dyDescent="0.25"/>
    <row r="805" ht="20.25" customHeight="1" x14ac:dyDescent="0.25"/>
    <row r="806" ht="20.25" customHeight="1" x14ac:dyDescent="0.25"/>
    <row r="807" ht="20.25" customHeight="1" x14ac:dyDescent="0.25"/>
    <row r="808" ht="20.25" customHeight="1" x14ac:dyDescent="0.25"/>
    <row r="809" ht="20.25" customHeight="1" x14ac:dyDescent="0.25"/>
    <row r="810" ht="20.25" customHeight="1" x14ac:dyDescent="0.25"/>
    <row r="811" ht="20.25" customHeight="1" x14ac:dyDescent="0.25"/>
    <row r="812" ht="20.25" customHeight="1" x14ac:dyDescent="0.25"/>
    <row r="813" ht="20.25" customHeight="1" x14ac:dyDescent="0.25"/>
    <row r="814" ht="20.25" customHeight="1" x14ac:dyDescent="0.25"/>
    <row r="815" ht="20.25" customHeight="1" x14ac:dyDescent="0.25"/>
    <row r="816" ht="20.25" customHeight="1" x14ac:dyDescent="0.25"/>
    <row r="817" ht="20.25" customHeight="1" x14ac:dyDescent="0.25"/>
    <row r="818" ht="20.25" customHeight="1" x14ac:dyDescent="0.25"/>
    <row r="819" ht="20.25" customHeight="1" x14ac:dyDescent="0.25"/>
    <row r="820" ht="20.25" customHeight="1" x14ac:dyDescent="0.25"/>
    <row r="821" ht="20.25" customHeight="1" x14ac:dyDescent="0.25"/>
    <row r="822" ht="20.25" customHeight="1" x14ac:dyDescent="0.25"/>
    <row r="823" ht="20.25" customHeight="1" x14ac:dyDescent="0.25"/>
    <row r="824" ht="20.25" customHeight="1" x14ac:dyDescent="0.25"/>
    <row r="825" ht="20.25" customHeight="1" x14ac:dyDescent="0.25"/>
    <row r="826" ht="20.25" customHeight="1" x14ac:dyDescent="0.25"/>
    <row r="827" ht="20.25" customHeight="1" x14ac:dyDescent="0.25"/>
    <row r="828" ht="20.25" customHeight="1" x14ac:dyDescent="0.25"/>
    <row r="829" ht="20.25" customHeight="1" x14ac:dyDescent="0.25"/>
    <row r="830" ht="20.25" customHeight="1" x14ac:dyDescent="0.25"/>
    <row r="831" ht="20.25" customHeight="1" x14ac:dyDescent="0.25"/>
    <row r="832" ht="20.25" customHeight="1" x14ac:dyDescent="0.25"/>
    <row r="833" ht="20.25" customHeight="1" x14ac:dyDescent="0.25"/>
    <row r="834" ht="20.25" customHeight="1" x14ac:dyDescent="0.25"/>
    <row r="835" ht="20.25" customHeight="1" x14ac:dyDescent="0.25"/>
    <row r="836" ht="20.25" customHeight="1" x14ac:dyDescent="0.25"/>
    <row r="837" ht="20.25" customHeight="1" x14ac:dyDescent="0.25"/>
    <row r="838" ht="20.25" customHeight="1" x14ac:dyDescent="0.25"/>
    <row r="839" ht="20.25" customHeight="1" x14ac:dyDescent="0.25"/>
    <row r="840" ht="20.25" customHeight="1" x14ac:dyDescent="0.25"/>
    <row r="841" ht="20.25" customHeight="1" x14ac:dyDescent="0.25"/>
    <row r="842" ht="20.25" customHeight="1" x14ac:dyDescent="0.25"/>
    <row r="843" ht="20.25" customHeight="1" x14ac:dyDescent="0.25"/>
    <row r="844" ht="20.25" customHeight="1" x14ac:dyDescent="0.25"/>
    <row r="845" ht="20.25" customHeight="1" x14ac:dyDescent="0.25"/>
    <row r="846" ht="20.25" customHeight="1" x14ac:dyDescent="0.25"/>
    <row r="847" ht="20.25" customHeight="1" x14ac:dyDescent="0.25"/>
    <row r="848" ht="20.25" customHeight="1" x14ac:dyDescent="0.25"/>
    <row r="849" ht="20.25" customHeight="1" x14ac:dyDescent="0.25"/>
    <row r="850" ht="20.25" customHeight="1" x14ac:dyDescent="0.25"/>
    <row r="851" ht="20.25" customHeight="1" x14ac:dyDescent="0.25"/>
    <row r="852" ht="20.25" customHeight="1" x14ac:dyDescent="0.25"/>
    <row r="853" ht="20.25" customHeight="1" x14ac:dyDescent="0.25"/>
    <row r="854" ht="20.25" customHeight="1" x14ac:dyDescent="0.25"/>
    <row r="855" ht="20.25" customHeight="1" x14ac:dyDescent="0.25"/>
    <row r="856" ht="20.25" customHeight="1" x14ac:dyDescent="0.25"/>
    <row r="857" ht="20.25" customHeight="1" x14ac:dyDescent="0.25"/>
    <row r="858" ht="20.25" customHeight="1" x14ac:dyDescent="0.25"/>
    <row r="859" ht="20.25" customHeight="1" x14ac:dyDescent="0.25"/>
    <row r="860" ht="20.25" customHeight="1" x14ac:dyDescent="0.25"/>
    <row r="861" ht="20.25" customHeight="1" x14ac:dyDescent="0.25"/>
    <row r="862" ht="20.25" customHeight="1" x14ac:dyDescent="0.25"/>
    <row r="863" ht="20.25" customHeight="1" x14ac:dyDescent="0.25"/>
    <row r="864" ht="20.25" customHeight="1" x14ac:dyDescent="0.25"/>
    <row r="865" ht="20.25" customHeight="1" x14ac:dyDescent="0.25"/>
    <row r="866" ht="20.25" customHeight="1" x14ac:dyDescent="0.25"/>
    <row r="867" ht="20.25" customHeight="1" x14ac:dyDescent="0.25"/>
    <row r="868" ht="20.25" customHeight="1" x14ac:dyDescent="0.25"/>
    <row r="869" ht="20.25" customHeight="1" x14ac:dyDescent="0.25"/>
    <row r="870" ht="20.25" customHeight="1" x14ac:dyDescent="0.25"/>
    <row r="871" ht="20.25" customHeight="1" x14ac:dyDescent="0.25"/>
    <row r="872" ht="20.25" customHeight="1" x14ac:dyDescent="0.25"/>
    <row r="873" ht="20.25" customHeight="1" x14ac:dyDescent="0.25"/>
    <row r="874" ht="20.25" customHeight="1" x14ac:dyDescent="0.25"/>
    <row r="875" ht="20.25" customHeight="1" x14ac:dyDescent="0.25"/>
    <row r="876" ht="20.25" customHeight="1" x14ac:dyDescent="0.25"/>
    <row r="877" ht="20.25" customHeight="1" x14ac:dyDescent="0.25"/>
    <row r="878" ht="20.25" customHeight="1" x14ac:dyDescent="0.25"/>
    <row r="879" ht="20.25" customHeight="1" x14ac:dyDescent="0.25"/>
    <row r="880" ht="20.25" customHeight="1" x14ac:dyDescent="0.25"/>
    <row r="881" ht="20.25" customHeight="1" x14ac:dyDescent="0.25"/>
    <row r="882" ht="20.25" customHeight="1" x14ac:dyDescent="0.25"/>
    <row r="883" ht="20.25" customHeight="1" x14ac:dyDescent="0.25"/>
    <row r="884" ht="20.25" customHeight="1" x14ac:dyDescent="0.25"/>
    <row r="885" ht="20.25" customHeight="1" x14ac:dyDescent="0.25"/>
    <row r="886" ht="20.25" customHeight="1" x14ac:dyDescent="0.25"/>
    <row r="887" ht="20.25" customHeight="1" x14ac:dyDescent="0.25"/>
    <row r="888" ht="20.25" customHeight="1" x14ac:dyDescent="0.25"/>
    <row r="889" ht="20.25" customHeight="1" x14ac:dyDescent="0.25"/>
    <row r="890" ht="20.25" customHeight="1" x14ac:dyDescent="0.25"/>
    <row r="891" ht="20.25" customHeight="1" x14ac:dyDescent="0.25"/>
    <row r="892" ht="20.25" customHeight="1" x14ac:dyDescent="0.25"/>
    <row r="893" ht="20.25" customHeight="1" x14ac:dyDescent="0.25"/>
    <row r="894" ht="20.25" customHeight="1" x14ac:dyDescent="0.25"/>
    <row r="895" ht="20.25" customHeight="1" x14ac:dyDescent="0.25"/>
    <row r="896" ht="20.25" customHeight="1" x14ac:dyDescent="0.25"/>
    <row r="897" ht="20.25" customHeight="1" x14ac:dyDescent="0.25"/>
    <row r="898" ht="20.25" customHeight="1" x14ac:dyDescent="0.25"/>
    <row r="899" ht="20.25" customHeight="1" x14ac:dyDescent="0.25"/>
    <row r="900" ht="20.25" customHeight="1" x14ac:dyDescent="0.25"/>
    <row r="901" ht="20.25" customHeight="1" x14ac:dyDescent="0.25"/>
    <row r="902" ht="20.25" customHeight="1" x14ac:dyDescent="0.25"/>
    <row r="903" ht="20.25" customHeight="1" x14ac:dyDescent="0.25"/>
    <row r="904" ht="20.25" customHeight="1" x14ac:dyDescent="0.25"/>
    <row r="905" ht="20.25" customHeight="1" x14ac:dyDescent="0.25"/>
    <row r="906" ht="20.25" customHeight="1" x14ac:dyDescent="0.25"/>
    <row r="907" ht="20.25" customHeight="1" x14ac:dyDescent="0.25"/>
    <row r="908" ht="20.25" customHeight="1" x14ac:dyDescent="0.25"/>
    <row r="909" ht="20.25" customHeight="1" x14ac:dyDescent="0.25"/>
    <row r="910" ht="20.25" customHeight="1" x14ac:dyDescent="0.25"/>
    <row r="911" ht="20.25" customHeight="1" x14ac:dyDescent="0.25"/>
    <row r="912" ht="20.25" customHeight="1" x14ac:dyDescent="0.25"/>
    <row r="913" ht="20.25" customHeight="1" x14ac:dyDescent="0.25"/>
    <row r="914" ht="20.25" customHeight="1" x14ac:dyDescent="0.25"/>
    <row r="915" ht="20.25" customHeight="1" x14ac:dyDescent="0.25"/>
    <row r="916" ht="20.25" customHeight="1" x14ac:dyDescent="0.25"/>
    <row r="917" ht="20.25" customHeight="1" x14ac:dyDescent="0.25"/>
    <row r="918" ht="20.25" customHeight="1" x14ac:dyDescent="0.25"/>
    <row r="919" ht="20.25" customHeight="1" x14ac:dyDescent="0.25"/>
    <row r="920" ht="20.25" customHeight="1" x14ac:dyDescent="0.25"/>
    <row r="921" ht="20.25" customHeight="1" x14ac:dyDescent="0.25"/>
    <row r="922" ht="20.25" customHeight="1" x14ac:dyDescent="0.25"/>
    <row r="923" ht="20.25" customHeight="1" x14ac:dyDescent="0.25"/>
    <row r="924" ht="20.25" customHeight="1" x14ac:dyDescent="0.25"/>
    <row r="925" ht="20.25" customHeight="1" x14ac:dyDescent="0.25"/>
    <row r="926" ht="20.25" customHeight="1" x14ac:dyDescent="0.25"/>
    <row r="927" ht="20.25" customHeight="1" x14ac:dyDescent="0.25"/>
    <row r="928" ht="20.25" customHeight="1" x14ac:dyDescent="0.25"/>
    <row r="929" ht="20.25" customHeight="1" x14ac:dyDescent="0.25"/>
    <row r="930" ht="20.25" customHeight="1" x14ac:dyDescent="0.25"/>
    <row r="931" ht="20.25" customHeight="1" x14ac:dyDescent="0.25"/>
    <row r="932" ht="20.25" customHeight="1" x14ac:dyDescent="0.25"/>
    <row r="933" ht="20.25" customHeight="1" x14ac:dyDescent="0.25"/>
    <row r="934" ht="20.25" customHeight="1" x14ac:dyDescent="0.25"/>
    <row r="935" ht="20.25" customHeight="1" x14ac:dyDescent="0.25"/>
    <row r="936" ht="20.25" customHeight="1" x14ac:dyDescent="0.25"/>
    <row r="937" ht="20.25" customHeight="1" x14ac:dyDescent="0.25"/>
    <row r="938" ht="20.25" customHeight="1" x14ac:dyDescent="0.25"/>
    <row r="939" ht="20.25" customHeight="1" x14ac:dyDescent="0.25"/>
    <row r="940" ht="20.25" customHeight="1" x14ac:dyDescent="0.25"/>
    <row r="941" ht="20.25" customHeight="1" x14ac:dyDescent="0.25"/>
    <row r="942" ht="20.25" customHeight="1" x14ac:dyDescent="0.25"/>
    <row r="943" ht="20.25" customHeight="1" x14ac:dyDescent="0.25"/>
    <row r="944" ht="20.25" customHeight="1" x14ac:dyDescent="0.25"/>
    <row r="945" ht="20.25" customHeight="1" x14ac:dyDescent="0.25"/>
    <row r="946" ht="20.25" customHeight="1" x14ac:dyDescent="0.25"/>
    <row r="947" ht="20.25" customHeight="1" x14ac:dyDescent="0.25"/>
    <row r="948" ht="20.25" customHeight="1" x14ac:dyDescent="0.25"/>
    <row r="949" ht="20.25" customHeight="1" x14ac:dyDescent="0.25"/>
    <row r="950" ht="20.25" customHeight="1" x14ac:dyDescent="0.25"/>
    <row r="951" ht="20.25" customHeight="1" x14ac:dyDescent="0.25"/>
    <row r="952" ht="20.25" customHeight="1" x14ac:dyDescent="0.25"/>
    <row r="953" ht="20.25" customHeight="1" x14ac:dyDescent="0.25"/>
    <row r="954" ht="20.25" customHeight="1" x14ac:dyDescent="0.25"/>
    <row r="955" ht="20.25" customHeight="1" x14ac:dyDescent="0.25"/>
    <row r="956" ht="20.25" customHeight="1" x14ac:dyDescent="0.25"/>
    <row r="957" ht="20.25" customHeight="1" x14ac:dyDescent="0.25"/>
    <row r="958" ht="20.25" customHeight="1" x14ac:dyDescent="0.25"/>
    <row r="959" ht="20.25" customHeight="1" x14ac:dyDescent="0.25"/>
    <row r="960" ht="20.25" customHeight="1" x14ac:dyDescent="0.25"/>
    <row r="961" ht="20.25" customHeight="1" x14ac:dyDescent="0.25"/>
    <row r="962" ht="20.25" customHeight="1" x14ac:dyDescent="0.25"/>
    <row r="963" ht="20.25" customHeight="1" x14ac:dyDescent="0.25"/>
    <row r="964" ht="20.25" customHeight="1" x14ac:dyDescent="0.25"/>
    <row r="965" ht="20.25" customHeight="1" x14ac:dyDescent="0.25"/>
    <row r="966" ht="20.25" customHeight="1" x14ac:dyDescent="0.25"/>
    <row r="967" ht="20.25" customHeight="1" x14ac:dyDescent="0.25"/>
    <row r="968" ht="20.25" customHeight="1" x14ac:dyDescent="0.25"/>
    <row r="969" ht="20.25" customHeight="1" x14ac:dyDescent="0.25"/>
    <row r="970" ht="20.25" customHeight="1" x14ac:dyDescent="0.25"/>
    <row r="971" ht="20.25" customHeight="1" x14ac:dyDescent="0.25"/>
    <row r="972" ht="20.25" customHeight="1" x14ac:dyDescent="0.25"/>
    <row r="973" ht="20.25" customHeight="1" x14ac:dyDescent="0.25"/>
    <row r="974" ht="20.25" customHeight="1" x14ac:dyDescent="0.25"/>
    <row r="975" ht="20.25" customHeight="1" x14ac:dyDescent="0.25"/>
    <row r="976" ht="20.25" customHeight="1" x14ac:dyDescent="0.25"/>
    <row r="977" ht="20.25" customHeight="1" x14ac:dyDescent="0.25"/>
    <row r="978" ht="20.25" customHeight="1" x14ac:dyDescent="0.25"/>
    <row r="979" ht="20.25" customHeight="1" x14ac:dyDescent="0.25"/>
    <row r="980" ht="20.25" customHeight="1" x14ac:dyDescent="0.25"/>
    <row r="981" ht="20.25" customHeight="1" x14ac:dyDescent="0.25"/>
    <row r="982" ht="20.25" customHeight="1" x14ac:dyDescent="0.25"/>
    <row r="983" ht="20.25" customHeight="1" x14ac:dyDescent="0.25"/>
    <row r="984" ht="20.25" customHeight="1" x14ac:dyDescent="0.25"/>
    <row r="985" ht="20.25" customHeight="1" x14ac:dyDescent="0.25"/>
    <row r="986" ht="20.25" customHeight="1" x14ac:dyDescent="0.25"/>
    <row r="987" ht="20.25" customHeight="1" x14ac:dyDescent="0.25"/>
    <row r="988" ht="20.25" customHeight="1" x14ac:dyDescent="0.25"/>
    <row r="989" ht="20.25" customHeight="1" x14ac:dyDescent="0.25"/>
    <row r="990" ht="20.25" customHeight="1" x14ac:dyDescent="0.25"/>
    <row r="991" ht="20.25" customHeight="1" x14ac:dyDescent="0.25"/>
    <row r="992" ht="20.25" customHeight="1" x14ac:dyDescent="0.25"/>
    <row r="993" ht="20.25" customHeight="1" x14ac:dyDescent="0.25"/>
    <row r="994" ht="20.25" customHeight="1" x14ac:dyDescent="0.25"/>
    <row r="995" ht="20.25" customHeight="1" x14ac:dyDescent="0.25"/>
    <row r="996" ht="20.25" customHeight="1" x14ac:dyDescent="0.25"/>
    <row r="997" ht="20.25" customHeight="1" x14ac:dyDescent="0.25"/>
    <row r="998" ht="20.25" customHeight="1" x14ac:dyDescent="0.25"/>
    <row r="999" ht="20.25" customHeight="1" x14ac:dyDescent="0.25"/>
    <row r="1000" ht="20.25" customHeight="1" x14ac:dyDescent="0.25"/>
  </sheetData>
  <mergeCells count="7">
    <mergeCell ref="B1:C1"/>
    <mergeCell ref="B3:C3"/>
    <mergeCell ref="B10:C10"/>
    <mergeCell ref="B15:C15"/>
    <mergeCell ref="B19:C19"/>
    <mergeCell ref="B24:C24"/>
    <mergeCell ref="B30:C30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Test Case Detail</vt:lpstr>
      <vt:lpstr>Core Area Coverage</vt:lpstr>
      <vt:lpstr>Legend &amp; 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2026-08-13T12:04:50Z</dcterms:created>
  <dcterms:modified xsi:type="dcterms:W3CDTF">2026-08-13T12:04:50Z</dcterms:modified>
</cp:coreProperties>
</file>